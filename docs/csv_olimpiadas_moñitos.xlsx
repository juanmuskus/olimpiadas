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olimpiadas\docs\"/>
    </mc:Choice>
  </mc:AlternateContent>
  <xr:revisionPtr revIDLastSave="0" documentId="13_ncr:1_{0EE643D2-234C-4F52-86CD-6EC962EE4165}" xr6:coauthVersionLast="47" xr6:coauthVersionMax="47" xr10:uidLastSave="{00000000-0000-0000-0000-000000000000}"/>
  <bookViews>
    <workbookView xWindow="-120" yWindow="-120" windowWidth="29040" windowHeight="15840" activeTab="2" xr2:uid="{7F2141BE-265C-4CAE-A729-ED86FDC1F458}"/>
  </bookViews>
  <sheets>
    <sheet name="Hoja1" sheetId="1" r:id="rId1"/>
    <sheet name="Hoja2" sheetId="2" r:id="rId2"/>
    <sheet name="other" sheetId="3" r:id="rId3"/>
  </sheets>
  <definedNames>
    <definedName name="_xlnm._FilterDatabase" localSheetId="0" hidden="1">Hoja1!$M$6:$R$6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 a="1"/>
  <c r="G8" i="1" s="1"/>
  <c r="G9" i="1" a="1"/>
  <c r="G9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/>
  <c r="G38" i="1" a="1"/>
  <c r="G38" i="1" s="1"/>
  <c r="G39" i="1" a="1"/>
  <c r="G39" i="1" s="1"/>
  <c r="G40" i="1" a="1"/>
  <c r="G40" i="1" s="1"/>
  <c r="G7" i="1" a="1"/>
  <c r="G7" i="1" s="1"/>
  <c r="D8" i="1" a="1"/>
  <c r="D8" i="1" s="1"/>
  <c r="D9" i="1" a="1"/>
  <c r="D9" i="1" s="1"/>
  <c r="D10" i="1" a="1"/>
  <c r="D10" i="1" s="1"/>
  <c r="D11" i="1" a="1"/>
  <c r="D11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40" i="1" a="1"/>
  <c r="D40" i="1" s="1"/>
  <c r="D7" i="1" a="1"/>
  <c r="D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<sst xmlns="http://schemas.openxmlformats.org/spreadsheetml/2006/main" count="820" uniqueCount="275">
  <si>
    <t>Doc. Identidad</t>
  </si>
  <si>
    <t>Nombres</t>
  </si>
  <si>
    <t>Apellidos</t>
  </si>
  <si>
    <t>Grado</t>
  </si>
  <si>
    <t>E-Mail</t>
  </si>
  <si>
    <t>Modalidad/Lugar</t>
  </si>
  <si>
    <t>MELISSA PAOLA</t>
  </si>
  <si>
    <t>MURILLO ROQUEME</t>
  </si>
  <si>
    <t>melissamurillo@gmail.com</t>
  </si>
  <si>
    <t>Virtual</t>
  </si>
  <si>
    <t>EZEQUIEL</t>
  </si>
  <si>
    <t>MENDOZA ZURITA</t>
  </si>
  <si>
    <t>ezequielmendozazurita@gmail.com</t>
  </si>
  <si>
    <t>CAMILO ANDRES</t>
  </si>
  <si>
    <t>JULIO PALACIN</t>
  </si>
  <si>
    <t>juliopalacin@gmail.com</t>
  </si>
  <si>
    <t>PEDRO JOSE</t>
  </si>
  <si>
    <t>HURTADO  MARTINEZ</t>
  </si>
  <si>
    <t>pedrohurtado@gmail.com</t>
  </si>
  <si>
    <t>ISABELLA</t>
  </si>
  <si>
    <t>GARCES  GARCES</t>
  </si>
  <si>
    <t>isabellagarces@gmail.com</t>
  </si>
  <si>
    <t>MARIA  VALERIA</t>
  </si>
  <si>
    <t>RODRIGUEZ  ARRIETA</t>
  </si>
  <si>
    <t>ALEXMATEMPRESA@GMAIL.COM</t>
  </si>
  <si>
    <t>KARENA</t>
  </si>
  <si>
    <t>MENDOZA PEñA</t>
  </si>
  <si>
    <t>karenamendozapena@gmail.com</t>
  </si>
  <si>
    <t>JANNY LUZ</t>
  </si>
  <si>
    <t>JULIO BARON</t>
  </si>
  <si>
    <t>Jjuliobaron@gmail.com</t>
  </si>
  <si>
    <t>TANIA LUZ</t>
  </si>
  <si>
    <t>JULIO  RUIZ</t>
  </si>
  <si>
    <t>maritzadelcarmenruizduque@gmail.com</t>
  </si>
  <si>
    <t>KATERINE</t>
  </si>
  <si>
    <t>GUZMAN  BERRIO</t>
  </si>
  <si>
    <t>Katerineguzman@iesanjosemonitos.com</t>
  </si>
  <si>
    <t>ALLISON</t>
  </si>
  <si>
    <t>GONZALEZ FAJARDO</t>
  </si>
  <si>
    <t>viejolajimenez@gmail.com</t>
  </si>
  <si>
    <t>YOSER</t>
  </si>
  <si>
    <t>ESTRADA GIL</t>
  </si>
  <si>
    <t>yoserestradagil@gmail.com</t>
  </si>
  <si>
    <t>DAIRO</t>
  </si>
  <si>
    <t>MENDOZA TUIRAN</t>
  </si>
  <si>
    <t>dairomendozatuiran@gmail.com</t>
  </si>
  <si>
    <t>DULCE MARíA</t>
  </si>
  <si>
    <t>MACIAS  GENES</t>
  </si>
  <si>
    <t>neirisgeju1979@gmail.com</t>
  </si>
  <si>
    <t>LUIS  MARIO</t>
  </si>
  <si>
    <t>LAGARES MIRANDA</t>
  </si>
  <si>
    <t>anamilenamirandabanquet@gmail.com</t>
  </si>
  <si>
    <t>EMILIA</t>
  </si>
  <si>
    <t>HERRERA PALACIO</t>
  </si>
  <si>
    <t>SBRUIZ21@HOTMAIL.COM</t>
  </si>
  <si>
    <t>JOSE DANIEL</t>
  </si>
  <si>
    <t>FUENTES HOYOS</t>
  </si>
  <si>
    <t>jm3720064@gmail.com</t>
  </si>
  <si>
    <t>ISABEL SOFIA</t>
  </si>
  <si>
    <t>DELGADO LARA</t>
  </si>
  <si>
    <t>isabelsofiadelgadolara@gmail.com</t>
  </si>
  <si>
    <t>PEDRO  ALEXANDER</t>
  </si>
  <si>
    <t>VARGAS  BALZA</t>
  </si>
  <si>
    <t>pedro2009abril@gmail.com</t>
  </si>
  <si>
    <t>ANA CELESTE</t>
  </si>
  <si>
    <t>MORELO  BLANCO</t>
  </si>
  <si>
    <t>anamorelosblanco@gmail.com</t>
  </si>
  <si>
    <t>KAREN</t>
  </si>
  <si>
    <t>karenmendozapena639@gmail.com</t>
  </si>
  <si>
    <t>STUARCH SAMUEL</t>
  </si>
  <si>
    <t>HOYOS  MARTINEZ</t>
  </si>
  <si>
    <t>diazg0903@gmail.com</t>
  </si>
  <si>
    <t>JESUS DAVID</t>
  </si>
  <si>
    <t>GUZMAN TORDECILLA</t>
  </si>
  <si>
    <t>rafaelss1994@hotmail.com</t>
  </si>
  <si>
    <t>SAMIR  ANDRES</t>
  </si>
  <si>
    <t>GUTIERREZ ROMERO</t>
  </si>
  <si>
    <t>alexmat114@gmail.com</t>
  </si>
  <si>
    <t>SAHARA LUCIA</t>
  </si>
  <si>
    <t>MARTINEZ GUZMAN</t>
  </si>
  <si>
    <t>saharamartinez307@gmail.com</t>
  </si>
  <si>
    <t>JESUS  MANUEL</t>
  </si>
  <si>
    <t>DIAZ  PALENCIA</t>
  </si>
  <si>
    <t>jesusmanueldiaz359@gmail.com</t>
  </si>
  <si>
    <t>CONEO  CASTRO</t>
  </si>
  <si>
    <t>cconeocastro@gmail.com</t>
  </si>
  <si>
    <t>YUSNEIDYS PAOLA</t>
  </si>
  <si>
    <t>CHICA  GUERRERO</t>
  </si>
  <si>
    <t>yusneidyschicaguerrero@gmail.com</t>
  </si>
  <si>
    <t>MELLY MAR</t>
  </si>
  <si>
    <t>CABRERA FUENTES</t>
  </si>
  <si>
    <t>katyfuentes357@gmail.com</t>
  </si>
  <si>
    <t>EDER LUIS</t>
  </si>
  <si>
    <t>VARGAS AVILA</t>
  </si>
  <si>
    <t>vargasavilaede@gmail.com</t>
  </si>
  <si>
    <t>EIDER HERNANDEZ</t>
  </si>
  <si>
    <t>RODRIGUEZ</t>
  </si>
  <si>
    <t>eiderhhernandez1608@gmail.com</t>
  </si>
  <si>
    <t>ADYS FERNANDA</t>
  </si>
  <si>
    <t>RAMOS RAMOS</t>
  </si>
  <si>
    <t>adysferramos2@gmail.com</t>
  </si>
  <si>
    <t>MANUEL</t>
  </si>
  <si>
    <t>DIAZ SANCHEZ</t>
  </si>
  <si>
    <t>manuel13344455@gmail.com</t>
  </si>
  <si>
    <t>ROCIO</t>
  </si>
  <si>
    <t>DE LA HAYE  MERCADO</t>
  </si>
  <si>
    <t>osoriogonzalesmartinelias@gmail.com</t>
  </si>
  <si>
    <t>ANDRADE PAYARES ENRIQUE ALEXANDER</t>
  </si>
  <si>
    <t>OVER ANTONIO AVILA CASTRO</t>
  </si>
  <si>
    <t>COL NTRA SRA DEL CARMEN de CERETÉ</t>
  </si>
  <si>
    <t>INSTITUCION EDUCATIVA VICTORIA MANZUR de MONTERÍA</t>
  </si>
  <si>
    <t>moñitos</t>
  </si>
  <si>
    <t>doc</t>
  </si>
  <si>
    <t>nombre1</t>
  </si>
  <si>
    <t>nombre2</t>
  </si>
  <si>
    <t>apellido1</t>
  </si>
  <si>
    <t>apellido2</t>
  </si>
  <si>
    <t>grado</t>
  </si>
  <si>
    <t>email</t>
  </si>
  <si>
    <t>puntaje</t>
  </si>
  <si>
    <t>IES_idIES</t>
  </si>
  <si>
    <t>MARIA</t>
  </si>
  <si>
    <t>PEDRO</t>
  </si>
  <si>
    <t>VALERIA</t>
  </si>
  <si>
    <t>ALEXANDER</t>
  </si>
  <si>
    <t>LUIS</t>
  </si>
  <si>
    <t>MARIO</t>
  </si>
  <si>
    <t>SAMIR</t>
  </si>
  <si>
    <t>ANDRES</t>
  </si>
  <si>
    <t>JESUS</t>
  </si>
  <si>
    <t>MELLY</t>
  </si>
  <si>
    <t>MAR</t>
  </si>
  <si>
    <t>YUSNEIDYS</t>
  </si>
  <si>
    <t>PAOLA</t>
  </si>
  <si>
    <t>CAMILO</t>
  </si>
  <si>
    <t>ISABEL</t>
  </si>
  <si>
    <t>SOFIA</t>
  </si>
  <si>
    <t>JOSE</t>
  </si>
  <si>
    <t>DANIEL</t>
  </si>
  <si>
    <t>DAVID</t>
  </si>
  <si>
    <t>STUARCH</t>
  </si>
  <si>
    <t>SAMUEL</t>
  </si>
  <si>
    <t>TANIA</t>
  </si>
  <si>
    <t>LUZ</t>
  </si>
  <si>
    <t>JANNY</t>
  </si>
  <si>
    <t>DULCE</t>
  </si>
  <si>
    <t>MARíA</t>
  </si>
  <si>
    <t>SAHARA</t>
  </si>
  <si>
    <t>LUCIA</t>
  </si>
  <si>
    <t>ANA</t>
  </si>
  <si>
    <t>CELESTE</t>
  </si>
  <si>
    <t>MELISSA</t>
  </si>
  <si>
    <t>ADYS</t>
  </si>
  <si>
    <t>FERNANDA</t>
  </si>
  <si>
    <t>EIDER</t>
  </si>
  <si>
    <t>HERNANDEZ</t>
  </si>
  <si>
    <t>EDER</t>
  </si>
  <si>
    <t>RODRIGUEZ ARRIETA</t>
  </si>
  <si>
    <t>VARGAS BALZA</t>
  </si>
  <si>
    <t>JULIO RUIZ</t>
  </si>
  <si>
    <t>HURTADO MARTINEZ</t>
  </si>
  <si>
    <t>HOYOS MARTINEZ</t>
  </si>
  <si>
    <t>GUZMAN BERRIO</t>
  </si>
  <si>
    <t>GARCES GARCES</t>
  </si>
  <si>
    <t>DIAZ PALENCIA</t>
  </si>
  <si>
    <t>DE LA HAYE MERCADO</t>
  </si>
  <si>
    <t>DE LA HAYE</t>
  </si>
  <si>
    <t>MERCADO</t>
  </si>
  <si>
    <t>CONEO CASTRO</t>
  </si>
  <si>
    <t>CHICA GUERRERO</t>
  </si>
  <si>
    <t>MORELO BLANCO</t>
  </si>
  <si>
    <t>MACIAS GENES</t>
  </si>
  <si>
    <t>CABRERA</t>
  </si>
  <si>
    <t>FUENTES</t>
  </si>
  <si>
    <t>CHICA</t>
  </si>
  <si>
    <t>GUERRERO</t>
  </si>
  <si>
    <t>CONEO</t>
  </si>
  <si>
    <t>CASTRO</t>
  </si>
  <si>
    <t>DELGADO</t>
  </si>
  <si>
    <t>LARA</t>
  </si>
  <si>
    <t>DIAZ</t>
  </si>
  <si>
    <t>PALENCIA</t>
  </si>
  <si>
    <t>SANCHEZ</t>
  </si>
  <si>
    <t>ESTRADA</t>
  </si>
  <si>
    <t>GIL</t>
  </si>
  <si>
    <t>HOYOS</t>
  </si>
  <si>
    <t>GARCES</t>
  </si>
  <si>
    <t>GONZALEZ</t>
  </si>
  <si>
    <t>FAJARDO</t>
  </si>
  <si>
    <t>GUTIERREZ</t>
  </si>
  <si>
    <t>ROMERO</t>
  </si>
  <si>
    <t>GUZMAN</t>
  </si>
  <si>
    <t>BERRIO</t>
  </si>
  <si>
    <t>TORDECILLA</t>
  </si>
  <si>
    <t>HERRERA</t>
  </si>
  <si>
    <t>PALACIO</t>
  </si>
  <si>
    <t>MARTINEZ</t>
  </si>
  <si>
    <t>HURTADO</t>
  </si>
  <si>
    <t>JULIO</t>
  </si>
  <si>
    <t>RUIZ</t>
  </si>
  <si>
    <t>BARON</t>
  </si>
  <si>
    <t>PALACIN</t>
  </si>
  <si>
    <t>LAGARES</t>
  </si>
  <si>
    <t>MIRANDA</t>
  </si>
  <si>
    <t>MACIAS</t>
  </si>
  <si>
    <t>GENES</t>
  </si>
  <si>
    <t>MENDOZA</t>
  </si>
  <si>
    <t>PEñA</t>
  </si>
  <si>
    <t>TUIRAN</t>
  </si>
  <si>
    <t>ZURITA</t>
  </si>
  <si>
    <t>MORELO</t>
  </si>
  <si>
    <t>BLANCO</t>
  </si>
  <si>
    <t>MURILLO</t>
  </si>
  <si>
    <t>ROQUEME</t>
  </si>
  <si>
    <t>RAMOS</t>
  </si>
  <si>
    <t>ARRIETA</t>
  </si>
  <si>
    <t>VARGAS</t>
  </si>
  <si>
    <t>BALZA</t>
  </si>
  <si>
    <t>AVILA</t>
  </si>
  <si>
    <t>SEBASTIAN</t>
  </si>
  <si>
    <t>BAQUERO</t>
  </si>
  <si>
    <t>sebastosaurusrex@gmail.com</t>
  </si>
  <si>
    <t>CONTRERAS</t>
  </si>
  <si>
    <t>miguelangelcontrerasr2023@gmail.com</t>
  </si>
  <si>
    <t>roldanluisdumar@gmail.com</t>
  </si>
  <si>
    <t>MAXIMILIANO</t>
  </si>
  <si>
    <t>dabane79@hotmail.com</t>
  </si>
  <si>
    <t>jaimealberto@hotmail.com</t>
  </si>
  <si>
    <t>caron65@hotmail.com</t>
  </si>
  <si>
    <t>MEJIA</t>
  </si>
  <si>
    <t>levimejiabarazarte@gmail.com</t>
  </si>
  <si>
    <t>MONTERROSA</t>
  </si>
  <si>
    <t>javiluismonterrosa@gmaill.com</t>
  </si>
  <si>
    <t>MAUREN</t>
  </si>
  <si>
    <t>maurenpacheco@hotmail.com</t>
  </si>
  <si>
    <t>PADILLA</t>
  </si>
  <si>
    <t>padillajuliodiego@gmail.com</t>
  </si>
  <si>
    <t>DANIS</t>
  </si>
  <si>
    <t>PADRON</t>
  </si>
  <si>
    <t>danispadron88@gmail.com</t>
  </si>
  <si>
    <t>JHOAN</t>
  </si>
  <si>
    <t>LAURENT</t>
  </si>
  <si>
    <t>laurentsalgado@hotmail.com</t>
  </si>
  <si>
    <t>suarezjairo772@gmail.com</t>
  </si>
  <si>
    <t>andresyanes@hotmail.com</t>
  </si>
  <si>
    <t>JUAN JOSE</t>
  </si>
  <si>
    <t>YANEZ</t>
  </si>
  <si>
    <t>juanjosepeinado12@gmail.com</t>
  </si>
  <si>
    <t>MIGUEL</t>
  </si>
  <si>
    <t>ANGEL</t>
  </si>
  <si>
    <t>ALEJANDRO</t>
  </si>
  <si>
    <t>JAIME</t>
  </si>
  <si>
    <t>ALBERTO</t>
  </si>
  <si>
    <t>DARIO</t>
  </si>
  <si>
    <t>LEVI</t>
  </si>
  <si>
    <t>SMITH</t>
  </si>
  <si>
    <t>JAVIER</t>
  </si>
  <si>
    <t>DIEGO</t>
  </si>
  <si>
    <t>JAIRO</t>
  </si>
  <si>
    <t>ENRIQUE</t>
  </si>
  <si>
    <t>DUMAR</t>
  </si>
  <si>
    <t>ROLDAN</t>
  </si>
  <si>
    <t>GAVIRIA</t>
  </si>
  <si>
    <t>PÉREZ</t>
  </si>
  <si>
    <t>SÁENZ</t>
  </si>
  <si>
    <t>LOPEZ</t>
  </si>
  <si>
    <t>MEDRANO</t>
  </si>
  <si>
    <t>PACHECO</t>
  </si>
  <si>
    <t>MORALES</t>
  </si>
  <si>
    <t>PATERNINA</t>
  </si>
  <si>
    <t>SALGADO</t>
  </si>
  <si>
    <t>BABILONIA</t>
  </si>
  <si>
    <t>SUAREZ</t>
  </si>
  <si>
    <t>YANES</t>
  </si>
  <si>
    <t>MONTIEL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</si>
</sst>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Segoe UI"/>
      <family val="2"/>
    </font>
    <font>
      <sz val="12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B63-585B-43C0-8C03-A5270E1818E5}">
  <dimension ref="A2:R111"/>
  <sheetViews>
    <sheetView workbookViewId="0">
      <selection activeCell="O2" sqref="O2"/>
    </sheetView>
  </sheetViews>
  <sheetFormatPr baseColWidth="10" defaultRowHeight="15" x14ac:dyDescent="0.25"/>
  <cols>
    <col min="2" max="2" width="13.85546875" bestFit="1" customWidth="1"/>
    <col min="3" max="3" width="18.140625" bestFit="1" customWidth="1"/>
    <col min="4" max="4" width="20" bestFit="1" customWidth="1"/>
    <col min="5" max="5" width="18.140625" customWidth="1"/>
    <col min="6" max="6" width="20.28515625" bestFit="1" customWidth="1"/>
    <col min="7" max="8" width="20.28515625" customWidth="1"/>
    <col min="9" max="9" width="6.42578125" bestFit="1" customWidth="1"/>
    <col min="10" max="10" width="38" bestFit="1" customWidth="1"/>
    <col min="11" max="11" width="16.28515625" bestFit="1" customWidth="1"/>
    <col min="13" max="13" width="13.85546875" bestFit="1" customWidth="1"/>
    <col min="14" max="14" width="18.140625" bestFit="1" customWidth="1"/>
    <col min="15" max="15" width="20.28515625" bestFit="1" customWidth="1"/>
    <col min="16" max="16" width="6.42578125" bestFit="1" customWidth="1"/>
    <col min="17" max="17" width="38" bestFit="1" customWidth="1"/>
    <col min="18" max="18" width="16.28515625" bestFit="1" customWidth="1"/>
  </cols>
  <sheetData>
    <row r="2" spans="1:18" ht="87" thickBot="1" x14ac:dyDescent="0.35">
      <c r="J2" t="s">
        <v>111</v>
      </c>
      <c r="N2" s="1" t="s">
        <v>109</v>
      </c>
      <c r="O2" s="3" t="s">
        <v>110</v>
      </c>
    </row>
    <row r="4" spans="1:18" x14ac:dyDescent="0.25">
      <c r="B4" s="4" t="s">
        <v>107</v>
      </c>
      <c r="C4" s="4"/>
      <c r="D4" s="4"/>
      <c r="E4" s="4"/>
      <c r="F4" s="4"/>
      <c r="G4" s="4"/>
      <c r="H4" s="4"/>
      <c r="I4" s="4"/>
      <c r="J4" s="4"/>
      <c r="K4" s="4"/>
      <c r="M4" s="5" t="s">
        <v>108</v>
      </c>
      <c r="N4" s="5"/>
      <c r="O4" s="5"/>
      <c r="P4" s="5"/>
      <c r="Q4" s="5"/>
      <c r="R4" s="5"/>
    </row>
    <row r="6" spans="1:18" x14ac:dyDescent="0.25">
      <c r="B6" t="s">
        <v>0</v>
      </c>
      <c r="C6" t="s">
        <v>1</v>
      </c>
      <c r="F6" t="s">
        <v>2</v>
      </c>
      <c r="I6" t="s">
        <v>3</v>
      </c>
      <c r="J6" t="s">
        <v>4</v>
      </c>
      <c r="K6" t="s">
        <v>5</v>
      </c>
      <c r="M6" t="s">
        <v>0</v>
      </c>
      <c r="N6" t="s">
        <v>1</v>
      </c>
      <c r="O6" t="s">
        <v>2</v>
      </c>
      <c r="P6" t="s">
        <v>3</v>
      </c>
      <c r="Q6" t="s">
        <v>4</v>
      </c>
      <c r="R6" t="s">
        <v>5</v>
      </c>
    </row>
    <row r="7" spans="1:18" x14ac:dyDescent="0.25">
      <c r="A7">
        <v>1</v>
      </c>
      <c r="B7">
        <v>1105373194</v>
      </c>
      <c r="C7" t="s">
        <v>89</v>
      </c>
      <c r="D7" t="str" cm="1">
        <f t="array" ref="D7:E7">_xlfn.TEXTSPLIT(C7," ")</f>
        <v>MELLY</v>
      </c>
      <c r="E7" t="str">
        <v>MAR</v>
      </c>
      <c r="F7" t="s">
        <v>90</v>
      </c>
      <c r="G7" t="str" cm="1">
        <f t="array" ref="G7:H7">_xlfn.TEXTSPLIT(F7," ")</f>
        <v>CABRERA</v>
      </c>
      <c r="H7" t="str">
        <v>FUENTES</v>
      </c>
      <c r="I7">
        <v>10</v>
      </c>
      <c r="J7" t="s">
        <v>91</v>
      </c>
      <c r="K7" t="s">
        <v>9</v>
      </c>
      <c r="M7">
        <v>1105373194</v>
      </c>
      <c r="N7" t="s">
        <v>89</v>
      </c>
      <c r="O7" t="s">
        <v>90</v>
      </c>
      <c r="P7">
        <v>10</v>
      </c>
      <c r="Q7" t="s">
        <v>91</v>
      </c>
      <c r="R7" t="s">
        <v>9</v>
      </c>
    </row>
    <row r="8" spans="1:18" x14ac:dyDescent="0.25">
      <c r="A8">
        <f>A7+1</f>
        <v>2</v>
      </c>
      <c r="B8">
        <v>1070817980</v>
      </c>
      <c r="C8" t="s">
        <v>86</v>
      </c>
      <c r="D8" t="str" cm="1">
        <f t="array" ref="D8:E8">_xlfn.TEXTSPLIT(C8," ")</f>
        <v>YUSNEIDYS</v>
      </c>
      <c r="E8" t="str">
        <v>PAOLA</v>
      </c>
      <c r="F8" t="s">
        <v>169</v>
      </c>
      <c r="G8" t="str" cm="1">
        <f t="array" ref="G8:H8">_xlfn.TEXTSPLIT(F8," ")</f>
        <v>CHICA</v>
      </c>
      <c r="H8" t="str">
        <v>GUERRERO</v>
      </c>
      <c r="I8">
        <v>10</v>
      </c>
      <c r="J8" t="s">
        <v>88</v>
      </c>
      <c r="K8" t="s">
        <v>9</v>
      </c>
      <c r="M8">
        <v>1070817980</v>
      </c>
      <c r="N8" t="s">
        <v>86</v>
      </c>
      <c r="O8" t="s">
        <v>87</v>
      </c>
      <c r="P8">
        <v>10</v>
      </c>
      <c r="Q8" t="s">
        <v>88</v>
      </c>
      <c r="R8" t="s">
        <v>9</v>
      </c>
    </row>
    <row r="9" spans="1:18" x14ac:dyDescent="0.25">
      <c r="A9">
        <f t="shared" ref="A9:A40" si="0">A8+1</f>
        <v>3</v>
      </c>
      <c r="B9">
        <v>1067166745</v>
      </c>
      <c r="C9" t="s">
        <v>13</v>
      </c>
      <c r="D9" t="str" cm="1">
        <f t="array" ref="D9:E9">_xlfn.TEXTSPLIT(C9," ")</f>
        <v>CAMILO</v>
      </c>
      <c r="E9" t="str">
        <v>ANDRES</v>
      </c>
      <c r="F9" t="s">
        <v>168</v>
      </c>
      <c r="G9" t="str" cm="1">
        <f t="array" ref="G9:H9">_xlfn.TEXTSPLIT(F9," ")</f>
        <v>CONEO</v>
      </c>
      <c r="H9" t="str">
        <v>CASTRO</v>
      </c>
      <c r="I9">
        <v>10</v>
      </c>
      <c r="J9" t="s">
        <v>85</v>
      </c>
      <c r="K9" t="s">
        <v>9</v>
      </c>
      <c r="M9">
        <v>1067166745</v>
      </c>
      <c r="N9" t="s">
        <v>13</v>
      </c>
      <c r="O9" t="s">
        <v>84</v>
      </c>
      <c r="P9">
        <v>10</v>
      </c>
      <c r="Q9" t="s">
        <v>85</v>
      </c>
      <c r="R9" t="s">
        <v>9</v>
      </c>
    </row>
    <row r="10" spans="1:18" x14ac:dyDescent="0.25">
      <c r="A10">
        <f t="shared" si="0"/>
        <v>4</v>
      </c>
      <c r="B10">
        <v>1063718619</v>
      </c>
      <c r="C10" t="s">
        <v>104</v>
      </c>
      <c r="D10" t="str" cm="1">
        <f t="array" ref="D10">_xlfn.TEXTSPLIT(C10," ")</f>
        <v>ROCIO</v>
      </c>
      <c r="F10" t="s">
        <v>165</v>
      </c>
      <c r="G10" t="s">
        <v>166</v>
      </c>
      <c r="H10" t="s">
        <v>167</v>
      </c>
      <c r="I10">
        <v>11</v>
      </c>
      <c r="J10" t="s">
        <v>106</v>
      </c>
      <c r="K10" t="s">
        <v>9</v>
      </c>
      <c r="M10">
        <v>1063718619</v>
      </c>
      <c r="N10" t="s">
        <v>104</v>
      </c>
      <c r="O10" t="s">
        <v>105</v>
      </c>
      <c r="P10">
        <v>11</v>
      </c>
      <c r="Q10" t="s">
        <v>106</v>
      </c>
      <c r="R10" t="s">
        <v>9</v>
      </c>
    </row>
    <row r="11" spans="1:18" x14ac:dyDescent="0.25">
      <c r="A11">
        <f t="shared" si="0"/>
        <v>5</v>
      </c>
      <c r="B11">
        <v>1021681134</v>
      </c>
      <c r="C11" t="s">
        <v>58</v>
      </c>
      <c r="D11" t="str" cm="1">
        <f t="array" ref="D11:E11">_xlfn.TEXTSPLIT(C11," ")</f>
        <v>ISABEL</v>
      </c>
      <c r="E11" t="str">
        <v>SOFIA</v>
      </c>
      <c r="F11" t="s">
        <v>59</v>
      </c>
      <c r="G11" t="str" cm="1">
        <f t="array" ref="G11:H11">_xlfn.TEXTSPLIT(F11," ")</f>
        <v>DELGADO</v>
      </c>
      <c r="H11" t="str">
        <v>LARA</v>
      </c>
      <c r="I11">
        <v>8</v>
      </c>
      <c r="J11" t="s">
        <v>60</v>
      </c>
      <c r="K11" t="s">
        <v>9</v>
      </c>
      <c r="M11">
        <v>1021681134</v>
      </c>
      <c r="N11" t="s">
        <v>58</v>
      </c>
      <c r="O11" t="s">
        <v>59</v>
      </c>
      <c r="P11">
        <v>8</v>
      </c>
      <c r="Q11" t="s">
        <v>60</v>
      </c>
      <c r="R11" t="s">
        <v>9</v>
      </c>
    </row>
    <row r="12" spans="1:18" x14ac:dyDescent="0.25">
      <c r="A12">
        <f t="shared" si="0"/>
        <v>6</v>
      </c>
      <c r="B12">
        <v>1110110101</v>
      </c>
      <c r="C12" t="s">
        <v>81</v>
      </c>
      <c r="D12" t="s">
        <v>129</v>
      </c>
      <c r="E12" t="s">
        <v>101</v>
      </c>
      <c r="F12" t="s">
        <v>164</v>
      </c>
      <c r="G12" t="str" cm="1">
        <f t="array" ref="G12:H12">_xlfn.TEXTSPLIT(F12," ")</f>
        <v>DIAZ</v>
      </c>
      <c r="H12" t="str">
        <v>PALENCIA</v>
      </c>
      <c r="I12">
        <v>10</v>
      </c>
      <c r="J12" t="s">
        <v>83</v>
      </c>
      <c r="K12" t="s">
        <v>9</v>
      </c>
      <c r="M12">
        <v>1110110101</v>
      </c>
      <c r="N12" t="s">
        <v>81</v>
      </c>
      <c r="O12" t="s">
        <v>82</v>
      </c>
      <c r="P12">
        <v>10</v>
      </c>
      <c r="Q12" t="s">
        <v>83</v>
      </c>
      <c r="R12" t="s">
        <v>9</v>
      </c>
    </row>
    <row r="13" spans="1:18" x14ac:dyDescent="0.25">
      <c r="A13">
        <f t="shared" si="0"/>
        <v>7</v>
      </c>
      <c r="B13">
        <v>1063722618</v>
      </c>
      <c r="C13" t="s">
        <v>101</v>
      </c>
      <c r="D13" t="str" cm="1">
        <f t="array" ref="D13">_xlfn.TEXTSPLIT(C13," ")</f>
        <v>MANUEL</v>
      </c>
      <c r="F13" t="s">
        <v>102</v>
      </c>
      <c r="G13" t="str" cm="1">
        <f t="array" ref="G13:H13">_xlfn.TEXTSPLIT(F13," ")</f>
        <v>DIAZ</v>
      </c>
      <c r="H13" t="str">
        <v>SANCHEZ</v>
      </c>
      <c r="I13">
        <v>11</v>
      </c>
      <c r="J13" t="s">
        <v>103</v>
      </c>
      <c r="K13" t="s">
        <v>9</v>
      </c>
      <c r="M13">
        <v>1063722618</v>
      </c>
      <c r="N13" t="s">
        <v>101</v>
      </c>
      <c r="O13" t="s">
        <v>102</v>
      </c>
      <c r="P13">
        <v>11</v>
      </c>
      <c r="Q13" t="s">
        <v>103</v>
      </c>
      <c r="R13" t="s">
        <v>9</v>
      </c>
    </row>
    <row r="14" spans="1:18" x14ac:dyDescent="0.25">
      <c r="A14">
        <f t="shared" si="0"/>
        <v>8</v>
      </c>
      <c r="B14">
        <v>1028497232</v>
      </c>
      <c r="C14" t="s">
        <v>40</v>
      </c>
      <c r="D14" t="str" cm="1">
        <f t="array" ref="D14">_xlfn.TEXTSPLIT(C14," ")</f>
        <v>YOSER</v>
      </c>
      <c r="F14" t="s">
        <v>41</v>
      </c>
      <c r="G14" t="str" cm="1">
        <f t="array" ref="G14:H14">_xlfn.TEXTSPLIT(F14," ")</f>
        <v>ESTRADA</v>
      </c>
      <c r="H14" t="str">
        <v>GIL</v>
      </c>
      <c r="I14">
        <v>7</v>
      </c>
      <c r="J14" t="s">
        <v>42</v>
      </c>
      <c r="K14" t="s">
        <v>9</v>
      </c>
      <c r="M14">
        <v>1028497232</v>
      </c>
      <c r="N14" t="s">
        <v>40</v>
      </c>
      <c r="O14" t="s">
        <v>41</v>
      </c>
      <c r="P14">
        <v>7</v>
      </c>
      <c r="Q14" t="s">
        <v>42</v>
      </c>
      <c r="R14" t="s">
        <v>9</v>
      </c>
    </row>
    <row r="15" spans="1:18" x14ac:dyDescent="0.25">
      <c r="A15">
        <f t="shared" si="0"/>
        <v>9</v>
      </c>
      <c r="B15">
        <v>1063724769</v>
      </c>
      <c r="C15" t="s">
        <v>55</v>
      </c>
      <c r="D15" t="str" cm="1">
        <f t="array" ref="D15:E15">_xlfn.TEXTSPLIT(C15," ")</f>
        <v>JOSE</v>
      </c>
      <c r="E15" t="str">
        <v>DANIEL</v>
      </c>
      <c r="F15" t="s">
        <v>56</v>
      </c>
      <c r="G15" t="str" cm="1">
        <f t="array" ref="G15:H15">_xlfn.TEXTSPLIT(F15," ")</f>
        <v>FUENTES</v>
      </c>
      <c r="H15" t="str">
        <v>HOYOS</v>
      </c>
      <c r="I15">
        <v>8</v>
      </c>
      <c r="J15" t="s">
        <v>57</v>
      </c>
      <c r="K15" t="s">
        <v>9</v>
      </c>
      <c r="M15">
        <v>1063724769</v>
      </c>
      <c r="N15" t="s">
        <v>55</v>
      </c>
      <c r="O15" t="s">
        <v>56</v>
      </c>
      <c r="P15">
        <v>8</v>
      </c>
      <c r="Q15" t="s">
        <v>57</v>
      </c>
      <c r="R15" t="s">
        <v>9</v>
      </c>
    </row>
    <row r="16" spans="1:18" x14ac:dyDescent="0.25">
      <c r="A16">
        <f t="shared" si="0"/>
        <v>10</v>
      </c>
      <c r="B16">
        <v>1050844749</v>
      </c>
      <c r="C16" t="s">
        <v>19</v>
      </c>
      <c r="D16" t="str" cm="1">
        <f t="array" ref="D16">_xlfn.TEXTSPLIT(C16," ")</f>
        <v>ISABELLA</v>
      </c>
      <c r="F16" t="s">
        <v>163</v>
      </c>
      <c r="G16" t="str" cm="1">
        <f t="array" ref="G16:H16">_xlfn.TEXTSPLIT(F16," ")</f>
        <v>GARCES</v>
      </c>
      <c r="H16" t="str">
        <v>GARCES</v>
      </c>
      <c r="I16">
        <v>6</v>
      </c>
      <c r="J16" t="s">
        <v>21</v>
      </c>
      <c r="K16" t="s">
        <v>9</v>
      </c>
      <c r="M16">
        <v>1050844749</v>
      </c>
      <c r="N16" t="s">
        <v>19</v>
      </c>
      <c r="O16" t="s">
        <v>20</v>
      </c>
      <c r="P16">
        <v>6</v>
      </c>
      <c r="Q16" t="s">
        <v>21</v>
      </c>
      <c r="R16" t="s">
        <v>9</v>
      </c>
    </row>
    <row r="17" spans="1:18" x14ac:dyDescent="0.25">
      <c r="A17">
        <f t="shared" si="0"/>
        <v>11</v>
      </c>
      <c r="B17">
        <v>1064448853</v>
      </c>
      <c r="C17" t="s">
        <v>37</v>
      </c>
      <c r="D17" t="str" cm="1">
        <f t="array" ref="D17">_xlfn.TEXTSPLIT(C17," ")</f>
        <v>ALLISON</v>
      </c>
      <c r="F17" t="s">
        <v>38</v>
      </c>
      <c r="G17" t="str" cm="1">
        <f t="array" ref="G17:H17">_xlfn.TEXTSPLIT(F17," ")</f>
        <v>GONZALEZ</v>
      </c>
      <c r="H17" t="str">
        <v>FAJARDO</v>
      </c>
      <c r="I17">
        <v>7</v>
      </c>
      <c r="J17" t="s">
        <v>39</v>
      </c>
      <c r="K17" t="s">
        <v>9</v>
      </c>
      <c r="M17">
        <v>1064448853</v>
      </c>
      <c r="N17" t="s">
        <v>37</v>
      </c>
      <c r="O17" t="s">
        <v>38</v>
      </c>
      <c r="P17">
        <v>7</v>
      </c>
      <c r="Q17" t="s">
        <v>39</v>
      </c>
      <c r="R17" t="s">
        <v>9</v>
      </c>
    </row>
    <row r="18" spans="1:18" x14ac:dyDescent="0.25">
      <c r="A18">
        <f t="shared" si="0"/>
        <v>12</v>
      </c>
      <c r="B18">
        <v>1044920491</v>
      </c>
      <c r="C18" t="s">
        <v>75</v>
      </c>
      <c r="D18" t="s">
        <v>127</v>
      </c>
      <c r="E18" t="s">
        <v>128</v>
      </c>
      <c r="F18" t="s">
        <v>76</v>
      </c>
      <c r="G18" t="str" cm="1">
        <f t="array" ref="G18:H18">_xlfn.TEXTSPLIT(F18," ")</f>
        <v>GUTIERREZ</v>
      </c>
      <c r="H18" t="str">
        <v>ROMERO</v>
      </c>
      <c r="I18">
        <v>9</v>
      </c>
      <c r="J18" t="s">
        <v>77</v>
      </c>
      <c r="K18" t="s">
        <v>9</v>
      </c>
      <c r="M18">
        <v>1044920491</v>
      </c>
      <c r="N18" t="s">
        <v>75</v>
      </c>
      <c r="O18" t="s">
        <v>76</v>
      </c>
      <c r="P18">
        <v>9</v>
      </c>
      <c r="Q18" t="s">
        <v>77</v>
      </c>
      <c r="R18" t="s">
        <v>9</v>
      </c>
    </row>
    <row r="19" spans="1:18" x14ac:dyDescent="0.25">
      <c r="A19">
        <f t="shared" si="0"/>
        <v>13</v>
      </c>
      <c r="B19">
        <v>1022148499</v>
      </c>
      <c r="C19" t="s">
        <v>34</v>
      </c>
      <c r="D19" t="str" cm="1">
        <f t="array" ref="D19">_xlfn.TEXTSPLIT(C19," ")</f>
        <v>KATERINE</v>
      </c>
      <c r="F19" t="s">
        <v>162</v>
      </c>
      <c r="G19" t="str" cm="1">
        <f t="array" ref="G19:H19">_xlfn.TEXTSPLIT(F19," ")</f>
        <v>GUZMAN</v>
      </c>
      <c r="H19" t="str">
        <v>BERRIO</v>
      </c>
      <c r="I19">
        <v>7</v>
      </c>
      <c r="J19" t="s">
        <v>36</v>
      </c>
      <c r="K19" t="s">
        <v>9</v>
      </c>
      <c r="M19">
        <v>1022148499</v>
      </c>
      <c r="N19" t="s">
        <v>34</v>
      </c>
      <c r="O19" t="s">
        <v>35</v>
      </c>
      <c r="P19">
        <v>7</v>
      </c>
      <c r="Q19" t="s">
        <v>36</v>
      </c>
      <c r="R19" t="s">
        <v>9</v>
      </c>
    </row>
    <row r="20" spans="1:18" x14ac:dyDescent="0.25">
      <c r="A20">
        <f t="shared" si="0"/>
        <v>14</v>
      </c>
      <c r="B20">
        <v>1063723905</v>
      </c>
      <c r="C20" t="s">
        <v>72</v>
      </c>
      <c r="D20" t="str" cm="1">
        <f t="array" ref="D20:E20">_xlfn.TEXTSPLIT(C20," ")</f>
        <v>JESUS</v>
      </c>
      <c r="E20" t="str">
        <v>DAVID</v>
      </c>
      <c r="F20" t="s">
        <v>73</v>
      </c>
      <c r="G20" t="str" cm="1">
        <f t="array" ref="G20:H20">_xlfn.TEXTSPLIT(F20," ")</f>
        <v>GUZMAN</v>
      </c>
      <c r="H20" t="str">
        <v>TORDECILLA</v>
      </c>
      <c r="I20">
        <v>9</v>
      </c>
      <c r="J20" t="s">
        <v>74</v>
      </c>
      <c r="K20" t="s">
        <v>9</v>
      </c>
      <c r="M20">
        <v>1063723905</v>
      </c>
      <c r="N20" t="s">
        <v>72</v>
      </c>
      <c r="O20" t="s">
        <v>73</v>
      </c>
      <c r="P20">
        <v>9</v>
      </c>
      <c r="Q20" t="s">
        <v>74</v>
      </c>
      <c r="R20" t="s">
        <v>9</v>
      </c>
    </row>
    <row r="21" spans="1:18" x14ac:dyDescent="0.25">
      <c r="A21">
        <f t="shared" si="0"/>
        <v>15</v>
      </c>
      <c r="B21">
        <v>1063724986</v>
      </c>
      <c r="C21" t="s">
        <v>52</v>
      </c>
      <c r="D21" t="str" cm="1">
        <f t="array" ref="D21">_xlfn.TEXTSPLIT(C21," ")</f>
        <v>EMILIA</v>
      </c>
      <c r="F21" t="s">
        <v>53</v>
      </c>
      <c r="G21" t="str" cm="1">
        <f t="array" ref="G21:H21">_xlfn.TEXTSPLIT(F21," ")</f>
        <v>HERRERA</v>
      </c>
      <c r="H21" t="str">
        <v>PALACIO</v>
      </c>
      <c r="I21">
        <v>8</v>
      </c>
      <c r="J21" t="s">
        <v>54</v>
      </c>
      <c r="K21" t="s">
        <v>9</v>
      </c>
      <c r="M21">
        <v>1063724986</v>
      </c>
      <c r="N21" t="s">
        <v>52</v>
      </c>
      <c r="O21" t="s">
        <v>53</v>
      </c>
      <c r="P21">
        <v>8</v>
      </c>
      <c r="Q21" t="s">
        <v>54</v>
      </c>
      <c r="R21" t="s">
        <v>9</v>
      </c>
    </row>
    <row r="22" spans="1:18" x14ac:dyDescent="0.25">
      <c r="A22">
        <f t="shared" si="0"/>
        <v>16</v>
      </c>
      <c r="B22">
        <v>100010110101</v>
      </c>
      <c r="C22" t="s">
        <v>69</v>
      </c>
      <c r="D22" t="str" cm="1">
        <f t="array" ref="D22:E22">_xlfn.TEXTSPLIT(C22," ")</f>
        <v>STUARCH</v>
      </c>
      <c r="E22" t="str">
        <v>SAMUEL</v>
      </c>
      <c r="F22" t="s">
        <v>161</v>
      </c>
      <c r="G22" t="str" cm="1">
        <f t="array" ref="G22:H22">_xlfn.TEXTSPLIT(F22," ")</f>
        <v>HOYOS</v>
      </c>
      <c r="H22" t="str">
        <v>MARTINEZ</v>
      </c>
      <c r="I22">
        <v>9</v>
      </c>
      <c r="J22" t="s">
        <v>71</v>
      </c>
      <c r="K22" t="s">
        <v>9</v>
      </c>
      <c r="M22">
        <v>100010110101</v>
      </c>
      <c r="N22" t="s">
        <v>69</v>
      </c>
      <c r="O22" t="s">
        <v>70</v>
      </c>
      <c r="P22">
        <v>9</v>
      </c>
      <c r="Q22" t="s">
        <v>71</v>
      </c>
      <c r="R22" t="s">
        <v>9</v>
      </c>
    </row>
    <row r="23" spans="1:18" x14ac:dyDescent="0.25">
      <c r="A23">
        <f t="shared" si="0"/>
        <v>17</v>
      </c>
      <c r="B23">
        <v>1013275313</v>
      </c>
      <c r="C23" t="s">
        <v>16</v>
      </c>
      <c r="D23" t="str" cm="1">
        <f t="array" ref="D23:E23">_xlfn.TEXTSPLIT(C23," ")</f>
        <v>PEDRO</v>
      </c>
      <c r="E23" t="str">
        <v>JOSE</v>
      </c>
      <c r="F23" t="s">
        <v>160</v>
      </c>
      <c r="G23" t="str" cm="1">
        <f t="array" ref="G23:H23">_xlfn.TEXTSPLIT(F23," ")</f>
        <v>HURTADO</v>
      </c>
      <c r="H23" t="str">
        <v>MARTINEZ</v>
      </c>
      <c r="I23">
        <v>6</v>
      </c>
      <c r="J23" t="s">
        <v>18</v>
      </c>
      <c r="K23" t="s">
        <v>9</v>
      </c>
      <c r="M23">
        <v>1013275313</v>
      </c>
      <c r="N23" t="s">
        <v>16</v>
      </c>
      <c r="O23" t="s">
        <v>17</v>
      </c>
      <c r="P23">
        <v>6</v>
      </c>
      <c r="Q23" t="s">
        <v>18</v>
      </c>
      <c r="R23" t="s">
        <v>9</v>
      </c>
    </row>
    <row r="24" spans="1:18" x14ac:dyDescent="0.25">
      <c r="A24">
        <f t="shared" si="0"/>
        <v>18</v>
      </c>
      <c r="B24">
        <v>1063725254</v>
      </c>
      <c r="C24" t="s">
        <v>31</v>
      </c>
      <c r="D24" t="str" cm="1">
        <f t="array" ref="D24:E24">_xlfn.TEXTSPLIT(C24," ")</f>
        <v>TANIA</v>
      </c>
      <c r="E24" t="str">
        <v>LUZ</v>
      </c>
      <c r="F24" t="s">
        <v>159</v>
      </c>
      <c r="G24" t="str" cm="1">
        <f t="array" ref="G24:H24">_xlfn.TEXTSPLIT(F24," ")</f>
        <v>JULIO</v>
      </c>
      <c r="H24" t="str">
        <v>RUIZ</v>
      </c>
      <c r="I24">
        <v>7</v>
      </c>
      <c r="J24" t="s">
        <v>33</v>
      </c>
      <c r="K24" t="s">
        <v>9</v>
      </c>
      <c r="M24">
        <v>1063725254</v>
      </c>
      <c r="N24" t="s">
        <v>31</v>
      </c>
      <c r="O24" t="s">
        <v>32</v>
      </c>
      <c r="P24">
        <v>7</v>
      </c>
      <c r="Q24" t="s">
        <v>33</v>
      </c>
      <c r="R24" t="s">
        <v>9</v>
      </c>
    </row>
    <row r="25" spans="1:18" x14ac:dyDescent="0.25">
      <c r="A25">
        <f t="shared" si="0"/>
        <v>19</v>
      </c>
      <c r="B25">
        <v>10679631</v>
      </c>
      <c r="C25" t="s">
        <v>28</v>
      </c>
      <c r="D25" t="str" cm="1">
        <f t="array" ref="D25:E25">_xlfn.TEXTSPLIT(C25," ")</f>
        <v>JANNY</v>
      </c>
      <c r="E25" t="str">
        <v>LUZ</v>
      </c>
      <c r="F25" t="s">
        <v>29</v>
      </c>
      <c r="G25" t="str" cm="1">
        <f t="array" ref="G25:H25">_xlfn.TEXTSPLIT(F25," ")</f>
        <v>JULIO</v>
      </c>
      <c r="H25" t="str">
        <v>BARON</v>
      </c>
      <c r="I25">
        <v>7</v>
      </c>
      <c r="J25" t="s">
        <v>30</v>
      </c>
      <c r="K25" t="s">
        <v>9</v>
      </c>
      <c r="M25">
        <v>10679631</v>
      </c>
      <c r="N25" t="s">
        <v>28</v>
      </c>
      <c r="O25" t="s">
        <v>29</v>
      </c>
      <c r="P25">
        <v>7</v>
      </c>
      <c r="Q25" t="s">
        <v>30</v>
      </c>
      <c r="R25" t="s">
        <v>9</v>
      </c>
    </row>
    <row r="26" spans="1:18" x14ac:dyDescent="0.25">
      <c r="A26">
        <f t="shared" si="0"/>
        <v>20</v>
      </c>
      <c r="B26">
        <v>1070821415</v>
      </c>
      <c r="C26" t="s">
        <v>13</v>
      </c>
      <c r="D26" t="str" cm="1">
        <f t="array" ref="D26:E26">_xlfn.TEXTSPLIT(C26," ")</f>
        <v>CAMILO</v>
      </c>
      <c r="E26" t="str">
        <v>ANDRES</v>
      </c>
      <c r="F26" t="s">
        <v>14</v>
      </c>
      <c r="G26" t="str" cm="1">
        <f t="array" ref="G26:H26">_xlfn.TEXTSPLIT(F26," ")</f>
        <v>JULIO</v>
      </c>
      <c r="H26" t="str">
        <v>PALACIN</v>
      </c>
      <c r="I26">
        <v>6</v>
      </c>
      <c r="J26" t="s">
        <v>15</v>
      </c>
      <c r="K26" t="s">
        <v>9</v>
      </c>
      <c r="M26">
        <v>1070821415</v>
      </c>
      <c r="N26" t="s">
        <v>13</v>
      </c>
      <c r="O26" t="s">
        <v>14</v>
      </c>
      <c r="P26">
        <v>6</v>
      </c>
      <c r="Q26" t="s">
        <v>15</v>
      </c>
      <c r="R26" t="s">
        <v>9</v>
      </c>
    </row>
    <row r="27" spans="1:18" x14ac:dyDescent="0.25">
      <c r="A27">
        <f t="shared" si="0"/>
        <v>21</v>
      </c>
      <c r="B27">
        <v>1063725573</v>
      </c>
      <c r="C27" t="s">
        <v>49</v>
      </c>
      <c r="D27" t="s">
        <v>125</v>
      </c>
      <c r="E27" t="s">
        <v>126</v>
      </c>
      <c r="F27" t="s">
        <v>50</v>
      </c>
      <c r="G27" t="str" cm="1">
        <f t="array" ref="G27:H27">_xlfn.TEXTSPLIT(F27," ")</f>
        <v>LAGARES</v>
      </c>
      <c r="H27" t="str">
        <v>MIRANDA</v>
      </c>
      <c r="I27">
        <v>8</v>
      </c>
      <c r="J27" t="s">
        <v>51</v>
      </c>
      <c r="K27" t="s">
        <v>9</v>
      </c>
      <c r="M27">
        <v>1063725573</v>
      </c>
      <c r="N27" t="s">
        <v>49</v>
      </c>
      <c r="O27" t="s">
        <v>50</v>
      </c>
      <c r="P27">
        <v>8</v>
      </c>
      <c r="Q27" t="s">
        <v>51</v>
      </c>
      <c r="R27" t="s">
        <v>9</v>
      </c>
    </row>
    <row r="28" spans="1:18" x14ac:dyDescent="0.25">
      <c r="A28">
        <f t="shared" si="0"/>
        <v>22</v>
      </c>
      <c r="B28">
        <v>1063724828</v>
      </c>
      <c r="C28" t="s">
        <v>46</v>
      </c>
      <c r="D28" t="str" cm="1">
        <f t="array" ref="D28:E28">_xlfn.TEXTSPLIT(C28," ")</f>
        <v>DULCE</v>
      </c>
      <c r="E28" t="str">
        <v>MARíA</v>
      </c>
      <c r="F28" t="s">
        <v>171</v>
      </c>
      <c r="G28" t="str" cm="1">
        <f t="array" ref="G28:H28">_xlfn.TEXTSPLIT(F28," ")</f>
        <v>MACIAS</v>
      </c>
      <c r="H28" t="str">
        <v>GENES</v>
      </c>
      <c r="I28">
        <v>8</v>
      </c>
      <c r="J28" t="s">
        <v>48</v>
      </c>
      <c r="K28" t="s">
        <v>9</v>
      </c>
      <c r="M28">
        <v>1063724828</v>
      </c>
      <c r="N28" t="s">
        <v>46</v>
      </c>
      <c r="O28" t="s">
        <v>47</v>
      </c>
      <c r="P28">
        <v>8</v>
      </c>
      <c r="Q28" t="s">
        <v>48</v>
      </c>
      <c r="R28" t="s">
        <v>9</v>
      </c>
    </row>
    <row r="29" spans="1:18" x14ac:dyDescent="0.25">
      <c r="A29">
        <f t="shared" si="0"/>
        <v>23</v>
      </c>
      <c r="B29">
        <v>1063156649</v>
      </c>
      <c r="C29" t="s">
        <v>78</v>
      </c>
      <c r="D29" t="str" cm="1">
        <f t="array" ref="D29:E29">_xlfn.TEXTSPLIT(C29," ")</f>
        <v>SAHARA</v>
      </c>
      <c r="E29" t="str">
        <v>LUCIA</v>
      </c>
      <c r="F29" t="s">
        <v>79</v>
      </c>
      <c r="G29" t="str" cm="1">
        <f t="array" ref="G29:H29">_xlfn.TEXTSPLIT(F29," ")</f>
        <v>MARTINEZ</v>
      </c>
      <c r="H29" t="str">
        <v>GUZMAN</v>
      </c>
      <c r="I29">
        <v>10</v>
      </c>
      <c r="J29" t="s">
        <v>80</v>
      </c>
      <c r="K29" t="s">
        <v>9</v>
      </c>
      <c r="M29">
        <v>1063156649</v>
      </c>
      <c r="N29" t="s">
        <v>78</v>
      </c>
      <c r="O29" t="s">
        <v>79</v>
      </c>
      <c r="P29">
        <v>10</v>
      </c>
      <c r="Q29" t="s">
        <v>80</v>
      </c>
      <c r="R29" t="s">
        <v>9</v>
      </c>
    </row>
    <row r="30" spans="1:18" x14ac:dyDescent="0.25">
      <c r="A30">
        <f t="shared" si="0"/>
        <v>24</v>
      </c>
      <c r="B30">
        <v>1063725701</v>
      </c>
      <c r="C30" t="s">
        <v>25</v>
      </c>
      <c r="D30" t="str" cm="1">
        <f t="array" ref="D30">_xlfn.TEXTSPLIT(C30," ")</f>
        <v>KARENA</v>
      </c>
      <c r="F30" t="s">
        <v>26</v>
      </c>
      <c r="G30" t="str" cm="1">
        <f t="array" ref="G30:H30">_xlfn.TEXTSPLIT(F30," ")</f>
        <v>MENDOZA</v>
      </c>
      <c r="H30" t="str">
        <v>PEñA</v>
      </c>
      <c r="I30">
        <v>7</v>
      </c>
      <c r="J30" t="s">
        <v>27</v>
      </c>
      <c r="K30" t="s">
        <v>9</v>
      </c>
      <c r="M30">
        <v>1063725701</v>
      </c>
      <c r="N30" t="s">
        <v>25</v>
      </c>
      <c r="O30" t="s">
        <v>26</v>
      </c>
      <c r="P30">
        <v>7</v>
      </c>
      <c r="Q30" t="s">
        <v>27</v>
      </c>
      <c r="R30" t="s">
        <v>9</v>
      </c>
    </row>
    <row r="31" spans="1:18" x14ac:dyDescent="0.25">
      <c r="A31">
        <f t="shared" si="0"/>
        <v>25</v>
      </c>
      <c r="B31">
        <v>1063724029</v>
      </c>
      <c r="C31" t="s">
        <v>67</v>
      </c>
      <c r="D31" t="str" cm="1">
        <f t="array" ref="D31">_xlfn.TEXTSPLIT(C31," ")</f>
        <v>KAREN</v>
      </c>
      <c r="F31" t="s">
        <v>26</v>
      </c>
      <c r="G31" t="str" cm="1">
        <f t="array" ref="G31:H31">_xlfn.TEXTSPLIT(F31," ")</f>
        <v>MENDOZA</v>
      </c>
      <c r="H31" t="str">
        <v>PEñA</v>
      </c>
      <c r="I31">
        <v>9</v>
      </c>
      <c r="J31" t="s">
        <v>68</v>
      </c>
      <c r="K31" t="s">
        <v>9</v>
      </c>
      <c r="M31">
        <v>1063724029</v>
      </c>
      <c r="N31" t="s">
        <v>67</v>
      </c>
      <c r="O31" t="s">
        <v>26</v>
      </c>
      <c r="P31">
        <v>9</v>
      </c>
      <c r="Q31" t="s">
        <v>68</v>
      </c>
      <c r="R31" t="s">
        <v>9</v>
      </c>
    </row>
    <row r="32" spans="1:18" x14ac:dyDescent="0.25">
      <c r="A32">
        <f t="shared" si="0"/>
        <v>26</v>
      </c>
      <c r="B32">
        <v>1063725234</v>
      </c>
      <c r="C32" t="s">
        <v>43</v>
      </c>
      <c r="D32" t="str" cm="1">
        <f t="array" ref="D32">_xlfn.TEXTSPLIT(C32," ")</f>
        <v>DAIRO</v>
      </c>
      <c r="F32" t="s">
        <v>44</v>
      </c>
      <c r="G32" t="str" cm="1">
        <f t="array" ref="G32:H32">_xlfn.TEXTSPLIT(F32," ")</f>
        <v>MENDOZA</v>
      </c>
      <c r="H32" t="str">
        <v>TUIRAN</v>
      </c>
      <c r="I32">
        <v>8</v>
      </c>
      <c r="J32" t="s">
        <v>45</v>
      </c>
      <c r="K32" t="s">
        <v>9</v>
      </c>
      <c r="M32">
        <v>1063725234</v>
      </c>
      <c r="N32" t="s">
        <v>43</v>
      </c>
      <c r="O32" t="s">
        <v>44</v>
      </c>
      <c r="P32">
        <v>8</v>
      </c>
      <c r="Q32" t="s">
        <v>45</v>
      </c>
      <c r="R32" t="s">
        <v>9</v>
      </c>
    </row>
    <row r="33" spans="1:18" x14ac:dyDescent="0.25">
      <c r="A33">
        <f t="shared" si="0"/>
        <v>27</v>
      </c>
      <c r="B33">
        <v>1063726200</v>
      </c>
      <c r="C33" t="s">
        <v>10</v>
      </c>
      <c r="D33" t="str" cm="1">
        <f t="array" ref="D33">_xlfn.TEXTSPLIT(C33," ")</f>
        <v>EZEQUIEL</v>
      </c>
      <c r="F33" t="s">
        <v>11</v>
      </c>
      <c r="G33" t="str" cm="1">
        <f t="array" ref="G33:H33">_xlfn.TEXTSPLIT(F33," ")</f>
        <v>MENDOZA</v>
      </c>
      <c r="H33" t="str">
        <v>ZURITA</v>
      </c>
      <c r="I33">
        <v>6</v>
      </c>
      <c r="J33" t="s">
        <v>12</v>
      </c>
      <c r="K33" t="s">
        <v>9</v>
      </c>
      <c r="M33">
        <v>1063726200</v>
      </c>
      <c r="N33" t="s">
        <v>10</v>
      </c>
      <c r="O33" t="s">
        <v>11</v>
      </c>
      <c r="P33">
        <v>6</v>
      </c>
      <c r="Q33" t="s">
        <v>12</v>
      </c>
      <c r="R33" t="s">
        <v>9</v>
      </c>
    </row>
    <row r="34" spans="1:18" x14ac:dyDescent="0.25">
      <c r="A34">
        <f t="shared" si="0"/>
        <v>28</v>
      </c>
      <c r="B34">
        <v>1063723227</v>
      </c>
      <c r="C34" t="s">
        <v>64</v>
      </c>
      <c r="D34" t="str" cm="1">
        <f t="array" ref="D34:E34">_xlfn.TEXTSPLIT(C34," ")</f>
        <v>ANA</v>
      </c>
      <c r="E34" t="str">
        <v>CELESTE</v>
      </c>
      <c r="F34" t="s">
        <v>170</v>
      </c>
      <c r="G34" t="str" cm="1">
        <f t="array" ref="G34:H34">_xlfn.TEXTSPLIT(F34," ")</f>
        <v>MORELO</v>
      </c>
      <c r="H34" t="str">
        <v>BLANCO</v>
      </c>
      <c r="I34">
        <v>9</v>
      </c>
      <c r="J34" t="s">
        <v>66</v>
      </c>
      <c r="K34" t="s">
        <v>9</v>
      </c>
      <c r="M34">
        <v>1063723227</v>
      </c>
      <c r="N34" t="s">
        <v>64</v>
      </c>
      <c r="O34" t="s">
        <v>65</v>
      </c>
      <c r="P34">
        <v>9</v>
      </c>
      <c r="Q34" t="s">
        <v>66</v>
      </c>
      <c r="R34" t="s">
        <v>9</v>
      </c>
    </row>
    <row r="35" spans="1:18" x14ac:dyDescent="0.25">
      <c r="A35">
        <f t="shared" si="0"/>
        <v>29</v>
      </c>
      <c r="B35">
        <v>1063725887</v>
      </c>
      <c r="C35" t="s">
        <v>6</v>
      </c>
      <c r="D35" t="str" cm="1">
        <f t="array" ref="D35:E35">_xlfn.TEXTSPLIT(C35," ")</f>
        <v>MELISSA</v>
      </c>
      <c r="E35" t="str">
        <v>PAOLA</v>
      </c>
      <c r="F35" t="s">
        <v>7</v>
      </c>
      <c r="G35" t="str" cm="1">
        <f t="array" ref="G35:H35">_xlfn.TEXTSPLIT(F35," ")</f>
        <v>MURILLO</v>
      </c>
      <c r="H35" t="str">
        <v>ROQUEME</v>
      </c>
      <c r="I35">
        <v>6</v>
      </c>
      <c r="J35" t="s">
        <v>8</v>
      </c>
      <c r="K35" t="s">
        <v>9</v>
      </c>
      <c r="M35">
        <v>1063725887</v>
      </c>
      <c r="N35" t="s">
        <v>6</v>
      </c>
      <c r="O35" t="s">
        <v>7</v>
      </c>
      <c r="P35">
        <v>6</v>
      </c>
      <c r="Q35" t="s">
        <v>8</v>
      </c>
      <c r="R35" t="s">
        <v>9</v>
      </c>
    </row>
    <row r="36" spans="1:18" x14ac:dyDescent="0.25">
      <c r="A36">
        <f t="shared" si="0"/>
        <v>30</v>
      </c>
      <c r="B36">
        <v>1067165767</v>
      </c>
      <c r="C36" t="s">
        <v>98</v>
      </c>
      <c r="D36" t="str" cm="1">
        <f t="array" ref="D36:E36">_xlfn.TEXTSPLIT(C36," ")</f>
        <v>ADYS</v>
      </c>
      <c r="E36" t="str">
        <v>FERNANDA</v>
      </c>
      <c r="F36" t="s">
        <v>99</v>
      </c>
      <c r="G36" t="str" cm="1">
        <f t="array" ref="G36:H36">_xlfn.TEXTSPLIT(F36," ")</f>
        <v>RAMOS</v>
      </c>
      <c r="H36" t="str">
        <v>RAMOS</v>
      </c>
      <c r="I36">
        <v>11</v>
      </c>
      <c r="J36" t="s">
        <v>100</v>
      </c>
      <c r="K36" t="s">
        <v>9</v>
      </c>
      <c r="M36">
        <v>1067165767</v>
      </c>
      <c r="N36" t="s">
        <v>98</v>
      </c>
      <c r="O36" t="s">
        <v>99</v>
      </c>
      <c r="P36">
        <v>11</v>
      </c>
      <c r="Q36" t="s">
        <v>100</v>
      </c>
      <c r="R36" t="s">
        <v>9</v>
      </c>
    </row>
    <row r="37" spans="1:18" x14ac:dyDescent="0.25">
      <c r="A37">
        <f t="shared" si="0"/>
        <v>31</v>
      </c>
      <c r="B37">
        <v>1063722543</v>
      </c>
      <c r="C37" t="s">
        <v>95</v>
      </c>
      <c r="D37" t="str" cm="1">
        <f t="array" ref="D37:E37">_xlfn.TEXTSPLIT(C37," ")</f>
        <v>EIDER</v>
      </c>
      <c r="E37" t="str">
        <v>HERNANDEZ</v>
      </c>
      <c r="F37" t="s">
        <v>96</v>
      </c>
      <c r="G37" t="str" cm="1">
        <f t="array" ref="G37">_xlfn.TEXTSPLIT(F37," ")</f>
        <v>RODRIGUEZ</v>
      </c>
      <c r="I37">
        <v>11</v>
      </c>
      <c r="J37" t="s">
        <v>97</v>
      </c>
      <c r="K37" t="s">
        <v>9</v>
      </c>
      <c r="M37">
        <v>1063722543</v>
      </c>
      <c r="N37" t="s">
        <v>95</v>
      </c>
      <c r="O37" t="s">
        <v>96</v>
      </c>
      <c r="P37">
        <v>11</v>
      </c>
      <c r="Q37" t="s">
        <v>97</v>
      </c>
      <c r="R37" t="s">
        <v>9</v>
      </c>
    </row>
    <row r="38" spans="1:18" x14ac:dyDescent="0.25">
      <c r="A38">
        <f t="shared" si="0"/>
        <v>32</v>
      </c>
      <c r="B38">
        <v>1202213644</v>
      </c>
      <c r="C38" t="s">
        <v>22</v>
      </c>
      <c r="D38" t="s">
        <v>121</v>
      </c>
      <c r="E38" t="s">
        <v>123</v>
      </c>
      <c r="F38" t="s">
        <v>157</v>
      </c>
      <c r="G38" t="str" cm="1">
        <f t="array" ref="G38:H38">_xlfn.TEXTSPLIT(F38," ")</f>
        <v>RODRIGUEZ</v>
      </c>
      <c r="H38" t="str">
        <v>ARRIETA</v>
      </c>
      <c r="I38">
        <v>7</v>
      </c>
      <c r="J38" t="s">
        <v>24</v>
      </c>
      <c r="K38" t="s">
        <v>9</v>
      </c>
      <c r="M38">
        <v>1202213644</v>
      </c>
      <c r="N38" t="s">
        <v>22</v>
      </c>
      <c r="O38" t="s">
        <v>23</v>
      </c>
      <c r="P38">
        <v>7</v>
      </c>
      <c r="Q38" t="s">
        <v>24</v>
      </c>
      <c r="R38" t="s">
        <v>9</v>
      </c>
    </row>
    <row r="39" spans="1:18" x14ac:dyDescent="0.25">
      <c r="A39">
        <f t="shared" si="0"/>
        <v>33</v>
      </c>
      <c r="B39">
        <v>6155048</v>
      </c>
      <c r="C39" t="s">
        <v>61</v>
      </c>
      <c r="D39" t="s">
        <v>122</v>
      </c>
      <c r="E39" t="s">
        <v>124</v>
      </c>
      <c r="F39" t="s">
        <v>158</v>
      </c>
      <c r="G39" t="str" cm="1">
        <f t="array" ref="G39:H39">_xlfn.TEXTSPLIT(F39," ")</f>
        <v>VARGAS</v>
      </c>
      <c r="H39" t="str">
        <v>BALZA</v>
      </c>
      <c r="I39">
        <v>9</v>
      </c>
      <c r="J39" t="s">
        <v>63</v>
      </c>
      <c r="K39" t="s">
        <v>9</v>
      </c>
      <c r="M39">
        <v>6155048</v>
      </c>
      <c r="N39" t="s">
        <v>61</v>
      </c>
      <c r="O39" t="s">
        <v>62</v>
      </c>
      <c r="P39">
        <v>9</v>
      </c>
      <c r="Q39" t="s">
        <v>63</v>
      </c>
      <c r="R39" t="s">
        <v>9</v>
      </c>
    </row>
    <row r="40" spans="1:18" x14ac:dyDescent="0.25">
      <c r="A40">
        <f t="shared" si="0"/>
        <v>34</v>
      </c>
      <c r="B40">
        <v>1070817098</v>
      </c>
      <c r="C40" t="s">
        <v>92</v>
      </c>
      <c r="D40" t="str" cm="1">
        <f t="array" ref="D40:E40">_xlfn.TEXTSPLIT(C40," ")</f>
        <v>EDER</v>
      </c>
      <c r="E40" t="str">
        <v>LUIS</v>
      </c>
      <c r="F40" t="s">
        <v>93</v>
      </c>
      <c r="G40" t="str" cm="1">
        <f t="array" ref="G40:H40">_xlfn.TEXTSPLIT(F40," ")</f>
        <v>VARGAS</v>
      </c>
      <c r="H40" t="str">
        <v>AVILA</v>
      </c>
      <c r="I40">
        <v>11</v>
      </c>
      <c r="J40" t="s">
        <v>94</v>
      </c>
      <c r="K40" t="s">
        <v>9</v>
      </c>
      <c r="M40">
        <v>1070817098</v>
      </c>
      <c r="N40" t="s">
        <v>92</v>
      </c>
      <c r="O40" t="s">
        <v>93</v>
      </c>
      <c r="P40">
        <v>11</v>
      </c>
      <c r="Q40" t="s">
        <v>94</v>
      </c>
      <c r="R40" t="s">
        <v>9</v>
      </c>
    </row>
    <row r="43" spans="1:18" x14ac:dyDescent="0.25">
      <c r="B43" t="s">
        <v>0</v>
      </c>
      <c r="C43" t="s">
        <v>1</v>
      </c>
      <c r="F43" t="s">
        <v>2</v>
      </c>
      <c r="I43" t="s">
        <v>3</v>
      </c>
      <c r="J43" t="s">
        <v>4</v>
      </c>
      <c r="K43" t="s">
        <v>5</v>
      </c>
    </row>
    <row r="44" spans="1:18" x14ac:dyDescent="0.25">
      <c r="B44">
        <v>1105373194</v>
      </c>
      <c r="C44" t="s">
        <v>89</v>
      </c>
      <c r="F44" t="s">
        <v>90</v>
      </c>
      <c r="I44">
        <v>10</v>
      </c>
      <c r="J44" t="s">
        <v>91</v>
      </c>
      <c r="K44" t="s">
        <v>9</v>
      </c>
    </row>
    <row r="45" spans="1:18" x14ac:dyDescent="0.25">
      <c r="B45">
        <v>1105373194</v>
      </c>
      <c r="C45" t="s">
        <v>89</v>
      </c>
      <c r="F45" t="s">
        <v>90</v>
      </c>
      <c r="I45">
        <v>10</v>
      </c>
      <c r="J45" t="s">
        <v>91</v>
      </c>
      <c r="K45" t="s">
        <v>9</v>
      </c>
    </row>
    <row r="46" spans="1:18" x14ac:dyDescent="0.25">
      <c r="B46">
        <v>1070817980</v>
      </c>
      <c r="C46" t="s">
        <v>86</v>
      </c>
      <c r="F46" t="s">
        <v>87</v>
      </c>
      <c r="I46">
        <v>10</v>
      </c>
      <c r="J46" t="s">
        <v>88</v>
      </c>
      <c r="K46" t="s">
        <v>9</v>
      </c>
    </row>
    <row r="47" spans="1:18" x14ac:dyDescent="0.25">
      <c r="B47">
        <v>1070817980</v>
      </c>
      <c r="C47" t="s">
        <v>86</v>
      </c>
      <c r="F47" t="s">
        <v>87</v>
      </c>
      <c r="I47">
        <v>10</v>
      </c>
      <c r="J47" t="s">
        <v>88</v>
      </c>
      <c r="K47" t="s">
        <v>9</v>
      </c>
    </row>
    <row r="48" spans="1:18" x14ac:dyDescent="0.25">
      <c r="B48">
        <v>1067166745</v>
      </c>
      <c r="C48" t="s">
        <v>13</v>
      </c>
      <c r="F48" t="s">
        <v>84</v>
      </c>
      <c r="I48">
        <v>10</v>
      </c>
      <c r="J48" t="s">
        <v>85</v>
      </c>
      <c r="K48" t="s">
        <v>9</v>
      </c>
    </row>
    <row r="49" spans="2:11" x14ac:dyDescent="0.25">
      <c r="B49">
        <v>1067166745</v>
      </c>
      <c r="C49" t="s">
        <v>13</v>
      </c>
      <c r="F49" t="s">
        <v>84</v>
      </c>
      <c r="I49">
        <v>10</v>
      </c>
      <c r="J49" t="s">
        <v>85</v>
      </c>
      <c r="K49" t="s">
        <v>9</v>
      </c>
    </row>
    <row r="50" spans="2:11" x14ac:dyDescent="0.25">
      <c r="B50">
        <v>1063718619</v>
      </c>
      <c r="C50" t="s">
        <v>104</v>
      </c>
      <c r="F50" t="s">
        <v>105</v>
      </c>
      <c r="I50">
        <v>11</v>
      </c>
      <c r="J50" t="s">
        <v>106</v>
      </c>
      <c r="K50" t="s">
        <v>9</v>
      </c>
    </row>
    <row r="51" spans="2:11" x14ac:dyDescent="0.25">
      <c r="B51">
        <v>1063718619</v>
      </c>
      <c r="C51" t="s">
        <v>104</v>
      </c>
      <c r="F51" t="s">
        <v>105</v>
      </c>
      <c r="I51">
        <v>11</v>
      </c>
      <c r="J51" t="s">
        <v>106</v>
      </c>
      <c r="K51" t="s">
        <v>9</v>
      </c>
    </row>
    <row r="52" spans="2:11" x14ac:dyDescent="0.25">
      <c r="B52">
        <v>1021681134</v>
      </c>
      <c r="C52" t="s">
        <v>58</v>
      </c>
      <c r="F52" t="s">
        <v>59</v>
      </c>
      <c r="I52">
        <v>8</v>
      </c>
      <c r="J52" t="s">
        <v>60</v>
      </c>
      <c r="K52" t="s">
        <v>9</v>
      </c>
    </row>
    <row r="53" spans="2:11" x14ac:dyDescent="0.25">
      <c r="B53">
        <v>1021681134</v>
      </c>
      <c r="C53" t="s">
        <v>58</v>
      </c>
      <c r="F53" t="s">
        <v>59</v>
      </c>
      <c r="I53">
        <v>8</v>
      </c>
      <c r="J53" t="s">
        <v>60</v>
      </c>
      <c r="K53" t="s">
        <v>9</v>
      </c>
    </row>
    <row r="54" spans="2:11" x14ac:dyDescent="0.25">
      <c r="B54">
        <v>1110110101</v>
      </c>
      <c r="C54" t="s">
        <v>81</v>
      </c>
      <c r="F54" t="s">
        <v>82</v>
      </c>
      <c r="I54">
        <v>10</v>
      </c>
      <c r="J54" t="s">
        <v>83</v>
      </c>
      <c r="K54" t="s">
        <v>9</v>
      </c>
    </row>
    <row r="55" spans="2:11" x14ac:dyDescent="0.25">
      <c r="B55">
        <v>1110110101</v>
      </c>
      <c r="C55" t="s">
        <v>81</v>
      </c>
      <c r="F55" t="s">
        <v>82</v>
      </c>
      <c r="I55">
        <v>10</v>
      </c>
      <c r="J55" t="s">
        <v>83</v>
      </c>
      <c r="K55" t="s">
        <v>9</v>
      </c>
    </row>
    <row r="56" spans="2:11" x14ac:dyDescent="0.25">
      <c r="B56">
        <v>1063722618</v>
      </c>
      <c r="C56" t="s">
        <v>101</v>
      </c>
      <c r="F56" t="s">
        <v>102</v>
      </c>
      <c r="I56">
        <v>11</v>
      </c>
      <c r="J56" t="s">
        <v>103</v>
      </c>
      <c r="K56" t="s">
        <v>9</v>
      </c>
    </row>
    <row r="57" spans="2:11" x14ac:dyDescent="0.25">
      <c r="B57">
        <v>1063722618</v>
      </c>
      <c r="C57" t="s">
        <v>101</v>
      </c>
      <c r="F57" t="s">
        <v>102</v>
      </c>
      <c r="I57">
        <v>11</v>
      </c>
      <c r="J57" t="s">
        <v>103</v>
      </c>
      <c r="K57" t="s">
        <v>9</v>
      </c>
    </row>
    <row r="58" spans="2:11" x14ac:dyDescent="0.25">
      <c r="B58">
        <v>1028497232</v>
      </c>
      <c r="C58" t="s">
        <v>40</v>
      </c>
      <c r="F58" t="s">
        <v>41</v>
      </c>
      <c r="I58">
        <v>7</v>
      </c>
      <c r="J58" t="s">
        <v>42</v>
      </c>
      <c r="K58" t="s">
        <v>9</v>
      </c>
    </row>
    <row r="59" spans="2:11" x14ac:dyDescent="0.25">
      <c r="B59">
        <v>1028497232</v>
      </c>
      <c r="C59" t="s">
        <v>40</v>
      </c>
      <c r="F59" t="s">
        <v>41</v>
      </c>
      <c r="I59">
        <v>7</v>
      </c>
      <c r="J59" t="s">
        <v>42</v>
      </c>
      <c r="K59" t="s">
        <v>9</v>
      </c>
    </row>
    <row r="60" spans="2:11" x14ac:dyDescent="0.25">
      <c r="B60">
        <v>1063724769</v>
      </c>
      <c r="C60" t="s">
        <v>55</v>
      </c>
      <c r="F60" t="s">
        <v>56</v>
      </c>
      <c r="I60">
        <v>8</v>
      </c>
      <c r="J60" t="s">
        <v>57</v>
      </c>
      <c r="K60" t="s">
        <v>9</v>
      </c>
    </row>
    <row r="61" spans="2:11" x14ac:dyDescent="0.25">
      <c r="B61">
        <v>1063724769</v>
      </c>
      <c r="C61" t="s">
        <v>55</v>
      </c>
      <c r="F61" t="s">
        <v>56</v>
      </c>
      <c r="I61">
        <v>8</v>
      </c>
      <c r="J61" t="s">
        <v>57</v>
      </c>
      <c r="K61" t="s">
        <v>9</v>
      </c>
    </row>
    <row r="62" spans="2:11" x14ac:dyDescent="0.25">
      <c r="B62">
        <v>1050844749</v>
      </c>
      <c r="C62" t="s">
        <v>19</v>
      </c>
      <c r="F62" t="s">
        <v>20</v>
      </c>
      <c r="I62">
        <v>6</v>
      </c>
      <c r="J62" t="s">
        <v>21</v>
      </c>
      <c r="K62" t="s">
        <v>9</v>
      </c>
    </row>
    <row r="63" spans="2:11" x14ac:dyDescent="0.25">
      <c r="B63">
        <v>1050844749</v>
      </c>
      <c r="C63" t="s">
        <v>19</v>
      </c>
      <c r="F63" t="s">
        <v>20</v>
      </c>
      <c r="I63">
        <v>6</v>
      </c>
      <c r="J63" t="s">
        <v>21</v>
      </c>
      <c r="K63" t="s">
        <v>9</v>
      </c>
    </row>
    <row r="64" spans="2:11" x14ac:dyDescent="0.25">
      <c r="B64">
        <v>1064448853</v>
      </c>
      <c r="C64" t="s">
        <v>37</v>
      </c>
      <c r="F64" t="s">
        <v>38</v>
      </c>
      <c r="I64">
        <v>7</v>
      </c>
      <c r="J64" t="s">
        <v>39</v>
      </c>
      <c r="K64" t="s">
        <v>9</v>
      </c>
    </row>
    <row r="65" spans="2:11" x14ac:dyDescent="0.25">
      <c r="B65">
        <v>1064448853</v>
      </c>
      <c r="C65" t="s">
        <v>37</v>
      </c>
      <c r="F65" t="s">
        <v>38</v>
      </c>
      <c r="I65">
        <v>7</v>
      </c>
      <c r="J65" t="s">
        <v>39</v>
      </c>
      <c r="K65" t="s">
        <v>9</v>
      </c>
    </row>
    <row r="66" spans="2:11" x14ac:dyDescent="0.25">
      <c r="B66">
        <v>1044920491</v>
      </c>
      <c r="C66" t="s">
        <v>75</v>
      </c>
      <c r="F66" t="s">
        <v>76</v>
      </c>
      <c r="I66">
        <v>9</v>
      </c>
      <c r="J66" t="s">
        <v>77</v>
      </c>
      <c r="K66" t="s">
        <v>9</v>
      </c>
    </row>
    <row r="67" spans="2:11" x14ac:dyDescent="0.25">
      <c r="B67">
        <v>1044920491</v>
      </c>
      <c r="C67" t="s">
        <v>75</v>
      </c>
      <c r="F67" t="s">
        <v>76</v>
      </c>
      <c r="I67">
        <v>9</v>
      </c>
      <c r="J67" t="s">
        <v>77</v>
      </c>
      <c r="K67" t="s">
        <v>9</v>
      </c>
    </row>
    <row r="68" spans="2:11" x14ac:dyDescent="0.25">
      <c r="B68">
        <v>1022148499</v>
      </c>
      <c r="C68" t="s">
        <v>34</v>
      </c>
      <c r="F68" t="s">
        <v>35</v>
      </c>
      <c r="I68">
        <v>7</v>
      </c>
      <c r="J68" t="s">
        <v>36</v>
      </c>
      <c r="K68" t="s">
        <v>9</v>
      </c>
    </row>
    <row r="69" spans="2:11" x14ac:dyDescent="0.25">
      <c r="B69">
        <v>1022148499</v>
      </c>
      <c r="C69" t="s">
        <v>34</v>
      </c>
      <c r="F69" t="s">
        <v>35</v>
      </c>
      <c r="I69">
        <v>7</v>
      </c>
      <c r="J69" t="s">
        <v>36</v>
      </c>
      <c r="K69" t="s">
        <v>9</v>
      </c>
    </row>
    <row r="70" spans="2:11" x14ac:dyDescent="0.25">
      <c r="B70">
        <v>1063723905</v>
      </c>
      <c r="C70" t="s">
        <v>72</v>
      </c>
      <c r="F70" t="s">
        <v>73</v>
      </c>
      <c r="I70">
        <v>9</v>
      </c>
      <c r="J70" t="s">
        <v>74</v>
      </c>
      <c r="K70" t="s">
        <v>9</v>
      </c>
    </row>
    <row r="71" spans="2:11" x14ac:dyDescent="0.25">
      <c r="B71">
        <v>1063723905</v>
      </c>
      <c r="C71" t="s">
        <v>72</v>
      </c>
      <c r="F71" t="s">
        <v>73</v>
      </c>
      <c r="I71">
        <v>9</v>
      </c>
      <c r="J71" t="s">
        <v>74</v>
      </c>
      <c r="K71" t="s">
        <v>9</v>
      </c>
    </row>
    <row r="72" spans="2:11" x14ac:dyDescent="0.25">
      <c r="B72">
        <v>1063724986</v>
      </c>
      <c r="C72" t="s">
        <v>52</v>
      </c>
      <c r="F72" t="s">
        <v>53</v>
      </c>
      <c r="I72">
        <v>8</v>
      </c>
      <c r="J72" t="s">
        <v>54</v>
      </c>
      <c r="K72" t="s">
        <v>9</v>
      </c>
    </row>
    <row r="73" spans="2:11" x14ac:dyDescent="0.25">
      <c r="B73">
        <v>1063724986</v>
      </c>
      <c r="C73" t="s">
        <v>52</v>
      </c>
      <c r="F73" t="s">
        <v>53</v>
      </c>
      <c r="I73">
        <v>8</v>
      </c>
      <c r="J73" t="s">
        <v>54</v>
      </c>
      <c r="K73" t="s">
        <v>9</v>
      </c>
    </row>
    <row r="74" spans="2:11" x14ac:dyDescent="0.25">
      <c r="B74">
        <v>100010110101</v>
      </c>
      <c r="C74" t="s">
        <v>69</v>
      </c>
      <c r="F74" t="s">
        <v>70</v>
      </c>
      <c r="I74">
        <v>9</v>
      </c>
      <c r="J74" t="s">
        <v>71</v>
      </c>
      <c r="K74" t="s">
        <v>9</v>
      </c>
    </row>
    <row r="75" spans="2:11" x14ac:dyDescent="0.25">
      <c r="B75">
        <v>100010110101</v>
      </c>
      <c r="C75" t="s">
        <v>69</v>
      </c>
      <c r="F75" t="s">
        <v>70</v>
      </c>
      <c r="I75">
        <v>9</v>
      </c>
      <c r="J75" t="s">
        <v>71</v>
      </c>
      <c r="K75" t="s">
        <v>9</v>
      </c>
    </row>
    <row r="76" spans="2:11" x14ac:dyDescent="0.25">
      <c r="B76">
        <v>1013275313</v>
      </c>
      <c r="C76" t="s">
        <v>16</v>
      </c>
      <c r="F76" t="s">
        <v>17</v>
      </c>
      <c r="I76">
        <v>6</v>
      </c>
      <c r="J76" t="s">
        <v>18</v>
      </c>
      <c r="K76" t="s">
        <v>9</v>
      </c>
    </row>
    <row r="77" spans="2:11" x14ac:dyDescent="0.25">
      <c r="B77">
        <v>1013275313</v>
      </c>
      <c r="C77" t="s">
        <v>16</v>
      </c>
      <c r="F77" t="s">
        <v>17</v>
      </c>
      <c r="I77">
        <v>6</v>
      </c>
      <c r="J77" t="s">
        <v>18</v>
      </c>
      <c r="K77" t="s">
        <v>9</v>
      </c>
    </row>
    <row r="78" spans="2:11" x14ac:dyDescent="0.25">
      <c r="B78">
        <v>1063725254</v>
      </c>
      <c r="C78" t="s">
        <v>31</v>
      </c>
      <c r="F78" t="s">
        <v>32</v>
      </c>
      <c r="I78">
        <v>7</v>
      </c>
      <c r="J78" t="s">
        <v>33</v>
      </c>
      <c r="K78" t="s">
        <v>9</v>
      </c>
    </row>
    <row r="79" spans="2:11" x14ac:dyDescent="0.25">
      <c r="B79">
        <v>1063725254</v>
      </c>
      <c r="C79" t="s">
        <v>31</v>
      </c>
      <c r="F79" t="s">
        <v>32</v>
      </c>
      <c r="I79">
        <v>7</v>
      </c>
      <c r="J79" t="s">
        <v>33</v>
      </c>
      <c r="K79" t="s">
        <v>9</v>
      </c>
    </row>
    <row r="80" spans="2:11" x14ac:dyDescent="0.25">
      <c r="B80">
        <v>10679631</v>
      </c>
      <c r="C80" t="s">
        <v>28</v>
      </c>
      <c r="F80" t="s">
        <v>29</v>
      </c>
      <c r="I80">
        <v>7</v>
      </c>
      <c r="J80" t="s">
        <v>30</v>
      </c>
      <c r="K80" t="s">
        <v>9</v>
      </c>
    </row>
    <row r="81" spans="2:11" x14ac:dyDescent="0.25">
      <c r="B81">
        <v>10679631</v>
      </c>
      <c r="C81" t="s">
        <v>28</v>
      </c>
      <c r="F81" t="s">
        <v>29</v>
      </c>
      <c r="I81">
        <v>7</v>
      </c>
      <c r="J81" t="s">
        <v>30</v>
      </c>
      <c r="K81" t="s">
        <v>9</v>
      </c>
    </row>
    <row r="82" spans="2:11" x14ac:dyDescent="0.25">
      <c r="B82">
        <v>1070821415</v>
      </c>
      <c r="C82" t="s">
        <v>13</v>
      </c>
      <c r="F82" t="s">
        <v>14</v>
      </c>
      <c r="I82">
        <v>6</v>
      </c>
      <c r="J82" t="s">
        <v>15</v>
      </c>
      <c r="K82" t="s">
        <v>9</v>
      </c>
    </row>
    <row r="83" spans="2:11" x14ac:dyDescent="0.25">
      <c r="B83">
        <v>1070821415</v>
      </c>
      <c r="C83" t="s">
        <v>13</v>
      </c>
      <c r="F83" t="s">
        <v>14</v>
      </c>
      <c r="I83">
        <v>6</v>
      </c>
      <c r="J83" t="s">
        <v>15</v>
      </c>
      <c r="K83" t="s">
        <v>9</v>
      </c>
    </row>
    <row r="84" spans="2:11" x14ac:dyDescent="0.25">
      <c r="B84">
        <v>1063725573</v>
      </c>
      <c r="C84" t="s">
        <v>49</v>
      </c>
      <c r="F84" t="s">
        <v>50</v>
      </c>
      <c r="I84">
        <v>8</v>
      </c>
      <c r="J84" t="s">
        <v>51</v>
      </c>
      <c r="K84" t="s">
        <v>9</v>
      </c>
    </row>
    <row r="85" spans="2:11" x14ac:dyDescent="0.25">
      <c r="B85">
        <v>1063725573</v>
      </c>
      <c r="C85" t="s">
        <v>49</v>
      </c>
      <c r="F85" t="s">
        <v>50</v>
      </c>
      <c r="I85">
        <v>8</v>
      </c>
      <c r="J85" t="s">
        <v>51</v>
      </c>
      <c r="K85" t="s">
        <v>9</v>
      </c>
    </row>
    <row r="86" spans="2:11" x14ac:dyDescent="0.25">
      <c r="B86">
        <v>1063724828</v>
      </c>
      <c r="C86" t="s">
        <v>46</v>
      </c>
      <c r="F86" t="s">
        <v>47</v>
      </c>
      <c r="I86">
        <v>8</v>
      </c>
      <c r="J86" t="s">
        <v>48</v>
      </c>
      <c r="K86" t="s">
        <v>9</v>
      </c>
    </row>
    <row r="87" spans="2:11" x14ac:dyDescent="0.25">
      <c r="B87">
        <v>1063724828</v>
      </c>
      <c r="C87" t="s">
        <v>46</v>
      </c>
      <c r="F87" t="s">
        <v>47</v>
      </c>
      <c r="I87">
        <v>8</v>
      </c>
      <c r="J87" t="s">
        <v>48</v>
      </c>
      <c r="K87" t="s">
        <v>9</v>
      </c>
    </row>
    <row r="88" spans="2:11" x14ac:dyDescent="0.25">
      <c r="B88">
        <v>1063156649</v>
      </c>
      <c r="C88" t="s">
        <v>78</v>
      </c>
      <c r="F88" t="s">
        <v>79</v>
      </c>
      <c r="I88">
        <v>10</v>
      </c>
      <c r="J88" t="s">
        <v>80</v>
      </c>
      <c r="K88" t="s">
        <v>9</v>
      </c>
    </row>
    <row r="89" spans="2:11" x14ac:dyDescent="0.25">
      <c r="B89">
        <v>1063156649</v>
      </c>
      <c r="C89" t="s">
        <v>78</v>
      </c>
      <c r="F89" t="s">
        <v>79</v>
      </c>
      <c r="I89">
        <v>10</v>
      </c>
      <c r="J89" t="s">
        <v>80</v>
      </c>
      <c r="K89" t="s">
        <v>9</v>
      </c>
    </row>
    <row r="90" spans="2:11" x14ac:dyDescent="0.25">
      <c r="B90">
        <v>1063725701</v>
      </c>
      <c r="C90" t="s">
        <v>25</v>
      </c>
      <c r="F90" t="s">
        <v>26</v>
      </c>
      <c r="I90">
        <v>7</v>
      </c>
      <c r="J90" t="s">
        <v>27</v>
      </c>
      <c r="K90" t="s">
        <v>9</v>
      </c>
    </row>
    <row r="91" spans="2:11" x14ac:dyDescent="0.25">
      <c r="B91">
        <v>1063725701</v>
      </c>
      <c r="C91" t="s">
        <v>25</v>
      </c>
      <c r="F91" t="s">
        <v>26</v>
      </c>
      <c r="I91">
        <v>7</v>
      </c>
      <c r="J91" t="s">
        <v>27</v>
      </c>
      <c r="K91" t="s">
        <v>9</v>
      </c>
    </row>
    <row r="92" spans="2:11" x14ac:dyDescent="0.25">
      <c r="B92">
        <v>1063724029</v>
      </c>
      <c r="C92" t="s">
        <v>67</v>
      </c>
      <c r="F92" t="s">
        <v>26</v>
      </c>
      <c r="I92">
        <v>9</v>
      </c>
      <c r="J92" t="s">
        <v>68</v>
      </c>
      <c r="K92" t="s">
        <v>9</v>
      </c>
    </row>
    <row r="93" spans="2:11" x14ac:dyDescent="0.25">
      <c r="B93">
        <v>1063724029</v>
      </c>
      <c r="C93" t="s">
        <v>67</v>
      </c>
      <c r="F93" t="s">
        <v>26</v>
      </c>
      <c r="I93">
        <v>9</v>
      </c>
      <c r="J93" t="s">
        <v>68</v>
      </c>
      <c r="K93" t="s">
        <v>9</v>
      </c>
    </row>
    <row r="94" spans="2:11" x14ac:dyDescent="0.25">
      <c r="B94">
        <v>1063725234</v>
      </c>
      <c r="C94" t="s">
        <v>43</v>
      </c>
      <c r="F94" t="s">
        <v>44</v>
      </c>
      <c r="I94">
        <v>8</v>
      </c>
      <c r="J94" t="s">
        <v>45</v>
      </c>
      <c r="K94" t="s">
        <v>9</v>
      </c>
    </row>
    <row r="95" spans="2:11" x14ac:dyDescent="0.25">
      <c r="B95">
        <v>1063725234</v>
      </c>
      <c r="C95" t="s">
        <v>43</v>
      </c>
      <c r="F95" t="s">
        <v>44</v>
      </c>
      <c r="I95">
        <v>8</v>
      </c>
      <c r="J95" t="s">
        <v>45</v>
      </c>
      <c r="K95" t="s">
        <v>9</v>
      </c>
    </row>
    <row r="96" spans="2:11" x14ac:dyDescent="0.25">
      <c r="B96">
        <v>1063726200</v>
      </c>
      <c r="C96" t="s">
        <v>10</v>
      </c>
      <c r="F96" t="s">
        <v>11</v>
      </c>
      <c r="I96">
        <v>6</v>
      </c>
      <c r="J96" t="s">
        <v>12</v>
      </c>
      <c r="K96" t="s">
        <v>9</v>
      </c>
    </row>
    <row r="97" spans="2:11" x14ac:dyDescent="0.25">
      <c r="B97">
        <v>1063726200</v>
      </c>
      <c r="C97" t="s">
        <v>10</v>
      </c>
      <c r="F97" t="s">
        <v>11</v>
      </c>
      <c r="I97">
        <v>6</v>
      </c>
      <c r="J97" t="s">
        <v>12</v>
      </c>
      <c r="K97" t="s">
        <v>9</v>
      </c>
    </row>
    <row r="98" spans="2:11" x14ac:dyDescent="0.25">
      <c r="B98">
        <v>1063723227</v>
      </c>
      <c r="C98" t="s">
        <v>64</v>
      </c>
      <c r="F98" t="s">
        <v>65</v>
      </c>
      <c r="I98">
        <v>9</v>
      </c>
      <c r="J98" t="s">
        <v>66</v>
      </c>
      <c r="K98" t="s">
        <v>9</v>
      </c>
    </row>
    <row r="99" spans="2:11" x14ac:dyDescent="0.25">
      <c r="B99">
        <v>1063723227</v>
      </c>
      <c r="C99" t="s">
        <v>64</v>
      </c>
      <c r="F99" t="s">
        <v>65</v>
      </c>
      <c r="I99">
        <v>9</v>
      </c>
      <c r="J99" t="s">
        <v>66</v>
      </c>
      <c r="K99" t="s">
        <v>9</v>
      </c>
    </row>
    <row r="100" spans="2:11" x14ac:dyDescent="0.25">
      <c r="B100">
        <v>1063725887</v>
      </c>
      <c r="C100" t="s">
        <v>6</v>
      </c>
      <c r="F100" t="s">
        <v>7</v>
      </c>
      <c r="I100">
        <v>6</v>
      </c>
      <c r="J100" t="s">
        <v>8</v>
      </c>
      <c r="K100" t="s">
        <v>9</v>
      </c>
    </row>
    <row r="101" spans="2:11" x14ac:dyDescent="0.25">
      <c r="B101">
        <v>1063725887</v>
      </c>
      <c r="C101" t="s">
        <v>6</v>
      </c>
      <c r="F101" t="s">
        <v>7</v>
      </c>
      <c r="I101">
        <v>6</v>
      </c>
      <c r="J101" t="s">
        <v>8</v>
      </c>
      <c r="K101" t="s">
        <v>9</v>
      </c>
    </row>
    <row r="102" spans="2:11" x14ac:dyDescent="0.25">
      <c r="B102">
        <v>1067165767</v>
      </c>
      <c r="C102" t="s">
        <v>98</v>
      </c>
      <c r="F102" t="s">
        <v>99</v>
      </c>
      <c r="I102">
        <v>11</v>
      </c>
      <c r="J102" t="s">
        <v>100</v>
      </c>
      <c r="K102" t="s">
        <v>9</v>
      </c>
    </row>
    <row r="103" spans="2:11" x14ac:dyDescent="0.25">
      <c r="B103">
        <v>1067165767</v>
      </c>
      <c r="C103" t="s">
        <v>98</v>
      </c>
      <c r="F103" t="s">
        <v>99</v>
      </c>
      <c r="I103">
        <v>11</v>
      </c>
      <c r="J103" t="s">
        <v>100</v>
      </c>
      <c r="K103" t="s">
        <v>9</v>
      </c>
    </row>
    <row r="104" spans="2:11" x14ac:dyDescent="0.25">
      <c r="B104">
        <v>1063722543</v>
      </c>
      <c r="C104" t="s">
        <v>95</v>
      </c>
      <c r="F104" t="s">
        <v>96</v>
      </c>
      <c r="I104">
        <v>11</v>
      </c>
      <c r="J104" t="s">
        <v>97</v>
      </c>
      <c r="K104" t="s">
        <v>9</v>
      </c>
    </row>
    <row r="105" spans="2:11" x14ac:dyDescent="0.25">
      <c r="B105">
        <v>1063722543</v>
      </c>
      <c r="C105" t="s">
        <v>95</v>
      </c>
      <c r="F105" t="s">
        <v>96</v>
      </c>
      <c r="I105">
        <v>11</v>
      </c>
      <c r="J105" t="s">
        <v>97</v>
      </c>
      <c r="K105" t="s">
        <v>9</v>
      </c>
    </row>
    <row r="106" spans="2:11" x14ac:dyDescent="0.25">
      <c r="B106">
        <v>1202213644</v>
      </c>
      <c r="C106" t="s">
        <v>22</v>
      </c>
      <c r="F106" t="s">
        <v>23</v>
      </c>
      <c r="I106">
        <v>7</v>
      </c>
      <c r="J106" t="s">
        <v>24</v>
      </c>
      <c r="K106" t="s">
        <v>9</v>
      </c>
    </row>
    <row r="107" spans="2:11" x14ac:dyDescent="0.25">
      <c r="B107">
        <v>1202213644</v>
      </c>
      <c r="C107" t="s">
        <v>22</v>
      </c>
      <c r="F107" t="s">
        <v>23</v>
      </c>
      <c r="I107">
        <v>7</v>
      </c>
      <c r="J107" t="s">
        <v>24</v>
      </c>
      <c r="K107" t="s">
        <v>9</v>
      </c>
    </row>
    <row r="108" spans="2:11" x14ac:dyDescent="0.25">
      <c r="B108">
        <v>6155048</v>
      </c>
      <c r="C108" t="s">
        <v>61</v>
      </c>
      <c r="F108" t="s">
        <v>62</v>
      </c>
      <c r="I108">
        <v>9</v>
      </c>
      <c r="J108" t="s">
        <v>63</v>
      </c>
      <c r="K108" t="s">
        <v>9</v>
      </c>
    </row>
    <row r="109" spans="2:11" x14ac:dyDescent="0.25">
      <c r="B109">
        <v>6155048</v>
      </c>
      <c r="C109" t="s">
        <v>61</v>
      </c>
      <c r="F109" t="s">
        <v>62</v>
      </c>
      <c r="I109">
        <v>9</v>
      </c>
      <c r="J109" t="s">
        <v>63</v>
      </c>
      <c r="K109" t="s">
        <v>9</v>
      </c>
    </row>
    <row r="110" spans="2:11" x14ac:dyDescent="0.25">
      <c r="B110">
        <v>1070817098</v>
      </c>
      <c r="C110" t="s">
        <v>92</v>
      </c>
      <c r="F110" t="s">
        <v>93</v>
      </c>
      <c r="I110">
        <v>11</v>
      </c>
      <c r="J110" t="s">
        <v>94</v>
      </c>
      <c r="K110" t="s">
        <v>9</v>
      </c>
    </row>
    <row r="111" spans="2:11" x14ac:dyDescent="0.25">
      <c r="B111">
        <v>1070817098</v>
      </c>
      <c r="C111" t="s">
        <v>92</v>
      </c>
      <c r="F111" t="s">
        <v>93</v>
      </c>
      <c r="I111">
        <v>11</v>
      </c>
      <c r="J111" t="s">
        <v>94</v>
      </c>
      <c r="K111" t="s">
        <v>9</v>
      </c>
    </row>
  </sheetData>
  <mergeCells count="2">
    <mergeCell ref="B4:K4"/>
    <mergeCell ref="M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BFFC-9086-4A0C-869D-426D10D2E4C3}">
  <dimension ref="A1:I35"/>
  <sheetViews>
    <sheetView topLeftCell="A6" workbookViewId="0">
      <selection activeCell="A17" sqref="A17"/>
    </sheetView>
  </sheetViews>
  <sheetFormatPr baseColWidth="10" defaultRowHeight="15" x14ac:dyDescent="0.25"/>
  <cols>
    <col min="7" max="7" width="38" bestFit="1" customWidth="1"/>
    <col min="9" max="9" width="13" bestFit="1" customWidth="1"/>
  </cols>
  <sheetData>
    <row r="1" spans="1:9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</row>
    <row r="2" spans="1:9" ht="17.25" x14ac:dyDescent="0.3">
      <c r="A2">
        <v>1105373194</v>
      </c>
      <c r="B2" t="s">
        <v>130</v>
      </c>
      <c r="C2" t="s">
        <v>131</v>
      </c>
      <c r="D2" t="s">
        <v>172</v>
      </c>
      <c r="E2" t="s">
        <v>173</v>
      </c>
      <c r="F2">
        <v>10</v>
      </c>
      <c r="G2" t="s">
        <v>91</v>
      </c>
      <c r="I2" s="2">
        <v>123500000389</v>
      </c>
    </row>
    <row r="3" spans="1:9" ht="17.25" x14ac:dyDescent="0.3">
      <c r="A3">
        <v>1070817980</v>
      </c>
      <c r="B3" t="s">
        <v>132</v>
      </c>
      <c r="C3" t="s">
        <v>133</v>
      </c>
      <c r="D3" t="s">
        <v>174</v>
      </c>
      <c r="E3" t="s">
        <v>175</v>
      </c>
      <c r="F3">
        <v>10</v>
      </c>
      <c r="G3" t="s">
        <v>88</v>
      </c>
      <c r="I3" s="2">
        <v>123500000389</v>
      </c>
    </row>
    <row r="4" spans="1:9" ht="17.25" x14ac:dyDescent="0.3">
      <c r="A4">
        <v>1067166745</v>
      </c>
      <c r="B4" t="s">
        <v>134</v>
      </c>
      <c r="C4" t="s">
        <v>128</v>
      </c>
      <c r="D4" t="s">
        <v>176</v>
      </c>
      <c r="E4" t="s">
        <v>177</v>
      </c>
      <c r="F4">
        <v>10</v>
      </c>
      <c r="G4" t="s">
        <v>85</v>
      </c>
      <c r="I4" s="2">
        <v>123500000389</v>
      </c>
    </row>
    <row r="5" spans="1:9" ht="17.25" x14ac:dyDescent="0.3">
      <c r="A5">
        <v>1063718619</v>
      </c>
      <c r="B5" t="s">
        <v>104</v>
      </c>
      <c r="D5" t="s">
        <v>166</v>
      </c>
      <c r="E5" t="s">
        <v>167</v>
      </c>
      <c r="F5">
        <v>11</v>
      </c>
      <c r="G5" t="s">
        <v>106</v>
      </c>
      <c r="I5" s="2">
        <v>123500000389</v>
      </c>
    </row>
    <row r="6" spans="1:9" ht="17.25" x14ac:dyDescent="0.3">
      <c r="A6">
        <v>1021681134</v>
      </c>
      <c r="B6" t="s">
        <v>135</v>
      </c>
      <c r="C6" t="s">
        <v>136</v>
      </c>
      <c r="D6" t="s">
        <v>178</v>
      </c>
      <c r="E6" t="s">
        <v>179</v>
      </c>
      <c r="F6">
        <v>8</v>
      </c>
      <c r="G6" t="s">
        <v>60</v>
      </c>
      <c r="I6" s="2">
        <v>123500000389</v>
      </c>
    </row>
    <row r="7" spans="1:9" ht="17.25" x14ac:dyDescent="0.3">
      <c r="A7">
        <v>1110110101</v>
      </c>
      <c r="B7" t="s">
        <v>129</v>
      </c>
      <c r="C7" t="s">
        <v>101</v>
      </c>
      <c r="D7" t="s">
        <v>180</v>
      </c>
      <c r="E7" t="s">
        <v>181</v>
      </c>
      <c r="F7">
        <v>10</v>
      </c>
      <c r="G7" t="s">
        <v>83</v>
      </c>
      <c r="I7" s="2">
        <v>123500000389</v>
      </c>
    </row>
    <row r="8" spans="1:9" ht="17.25" x14ac:dyDescent="0.3">
      <c r="A8">
        <v>1063722618</v>
      </c>
      <c r="B8" t="s">
        <v>101</v>
      </c>
      <c r="D8" t="s">
        <v>180</v>
      </c>
      <c r="E8" t="s">
        <v>182</v>
      </c>
      <c r="F8">
        <v>11</v>
      </c>
      <c r="G8" t="s">
        <v>103</v>
      </c>
      <c r="I8" s="2">
        <v>123500000389</v>
      </c>
    </row>
    <row r="9" spans="1:9" ht="17.25" x14ac:dyDescent="0.3">
      <c r="A9">
        <v>1028497232</v>
      </c>
      <c r="B9" t="s">
        <v>40</v>
      </c>
      <c r="D9" t="s">
        <v>183</v>
      </c>
      <c r="E9" t="s">
        <v>184</v>
      </c>
      <c r="F9">
        <v>7</v>
      </c>
      <c r="G9" t="s">
        <v>42</v>
      </c>
      <c r="I9" s="2">
        <v>123500000389</v>
      </c>
    </row>
    <row r="10" spans="1:9" ht="17.25" x14ac:dyDescent="0.3">
      <c r="A10">
        <v>1063724769</v>
      </c>
      <c r="B10" t="s">
        <v>137</v>
      </c>
      <c r="C10" t="s">
        <v>138</v>
      </c>
      <c r="D10" t="s">
        <v>173</v>
      </c>
      <c r="E10" t="s">
        <v>185</v>
      </c>
      <c r="F10">
        <v>8</v>
      </c>
      <c r="G10" t="s">
        <v>57</v>
      </c>
      <c r="I10" s="2">
        <v>123500000389</v>
      </c>
    </row>
    <row r="11" spans="1:9" ht="17.25" x14ac:dyDescent="0.3">
      <c r="A11">
        <v>1050844749</v>
      </c>
      <c r="B11" t="s">
        <v>19</v>
      </c>
      <c r="D11" t="s">
        <v>186</v>
      </c>
      <c r="E11" t="s">
        <v>186</v>
      </c>
      <c r="F11">
        <v>6</v>
      </c>
      <c r="G11" t="s">
        <v>21</v>
      </c>
      <c r="I11" s="2">
        <v>123500000389</v>
      </c>
    </row>
    <row r="12" spans="1:9" ht="17.25" x14ac:dyDescent="0.3">
      <c r="A12">
        <v>1064448853</v>
      </c>
      <c r="B12" t="s">
        <v>37</v>
      </c>
      <c r="D12" t="s">
        <v>187</v>
      </c>
      <c r="E12" t="s">
        <v>188</v>
      </c>
      <c r="F12">
        <v>7</v>
      </c>
      <c r="G12" t="s">
        <v>39</v>
      </c>
      <c r="I12" s="2">
        <v>123500000389</v>
      </c>
    </row>
    <row r="13" spans="1:9" ht="17.25" x14ac:dyDescent="0.3">
      <c r="A13">
        <v>1044920491</v>
      </c>
      <c r="B13" t="s">
        <v>127</v>
      </c>
      <c r="C13" t="s">
        <v>128</v>
      </c>
      <c r="D13" t="s">
        <v>189</v>
      </c>
      <c r="E13" t="s">
        <v>190</v>
      </c>
      <c r="F13">
        <v>9</v>
      </c>
      <c r="G13" t="s">
        <v>77</v>
      </c>
      <c r="I13" s="2">
        <v>123500000389</v>
      </c>
    </row>
    <row r="14" spans="1:9" ht="17.25" x14ac:dyDescent="0.3">
      <c r="A14">
        <v>1022148499</v>
      </c>
      <c r="B14" t="s">
        <v>34</v>
      </c>
      <c r="D14" t="s">
        <v>191</v>
      </c>
      <c r="E14" t="s">
        <v>192</v>
      </c>
      <c r="F14">
        <v>7</v>
      </c>
      <c r="G14" t="s">
        <v>36</v>
      </c>
      <c r="I14" s="2">
        <v>123500000389</v>
      </c>
    </row>
    <row r="15" spans="1:9" ht="17.25" x14ac:dyDescent="0.3">
      <c r="A15">
        <v>1063723905</v>
      </c>
      <c r="B15" t="s">
        <v>129</v>
      </c>
      <c r="C15" t="s">
        <v>139</v>
      </c>
      <c r="D15" t="s">
        <v>191</v>
      </c>
      <c r="E15" t="s">
        <v>193</v>
      </c>
      <c r="F15">
        <v>9</v>
      </c>
      <c r="G15" t="s">
        <v>74</v>
      </c>
      <c r="I15" s="2">
        <v>123500000389</v>
      </c>
    </row>
    <row r="16" spans="1:9" ht="17.25" x14ac:dyDescent="0.3">
      <c r="A16">
        <v>1063724986</v>
      </c>
      <c r="B16" t="s">
        <v>52</v>
      </c>
      <c r="D16" t="s">
        <v>194</v>
      </c>
      <c r="E16" t="s">
        <v>195</v>
      </c>
      <c r="F16">
        <v>8</v>
      </c>
      <c r="G16" t="s">
        <v>54</v>
      </c>
      <c r="I16" s="2">
        <v>123500000389</v>
      </c>
    </row>
    <row r="17" spans="1:9" ht="17.25" x14ac:dyDescent="0.3">
      <c r="A17">
        <v>100010110101</v>
      </c>
      <c r="B17" t="s">
        <v>140</v>
      </c>
      <c r="C17" t="s">
        <v>141</v>
      </c>
      <c r="D17" t="s">
        <v>185</v>
      </c>
      <c r="E17" t="s">
        <v>196</v>
      </c>
      <c r="F17">
        <v>9</v>
      </c>
      <c r="G17" t="s">
        <v>71</v>
      </c>
      <c r="I17" s="2">
        <v>123500000389</v>
      </c>
    </row>
    <row r="18" spans="1:9" ht="17.25" x14ac:dyDescent="0.3">
      <c r="A18">
        <v>1013275313</v>
      </c>
      <c r="B18" t="s">
        <v>122</v>
      </c>
      <c r="C18" t="s">
        <v>137</v>
      </c>
      <c r="D18" t="s">
        <v>197</v>
      </c>
      <c r="E18" t="s">
        <v>196</v>
      </c>
      <c r="F18">
        <v>6</v>
      </c>
      <c r="G18" t="s">
        <v>18</v>
      </c>
      <c r="I18" s="2">
        <v>123500000389</v>
      </c>
    </row>
    <row r="19" spans="1:9" ht="17.25" x14ac:dyDescent="0.3">
      <c r="A19">
        <v>1063725254</v>
      </c>
      <c r="B19" t="s">
        <v>142</v>
      </c>
      <c r="C19" t="s">
        <v>143</v>
      </c>
      <c r="D19" t="s">
        <v>198</v>
      </c>
      <c r="E19" t="s">
        <v>199</v>
      </c>
      <c r="F19">
        <v>7</v>
      </c>
      <c r="G19" t="s">
        <v>33</v>
      </c>
      <c r="I19" s="2">
        <v>123500000389</v>
      </c>
    </row>
    <row r="20" spans="1:9" ht="17.25" x14ac:dyDescent="0.3">
      <c r="A20">
        <v>10679631</v>
      </c>
      <c r="B20" t="s">
        <v>144</v>
      </c>
      <c r="C20" t="s">
        <v>143</v>
      </c>
      <c r="D20" t="s">
        <v>198</v>
      </c>
      <c r="E20" t="s">
        <v>200</v>
      </c>
      <c r="F20">
        <v>7</v>
      </c>
      <c r="G20" t="s">
        <v>30</v>
      </c>
      <c r="I20" s="2">
        <v>123500000389</v>
      </c>
    </row>
    <row r="21" spans="1:9" ht="17.25" x14ac:dyDescent="0.3">
      <c r="A21">
        <v>1070821415</v>
      </c>
      <c r="B21" t="s">
        <v>134</v>
      </c>
      <c r="C21" t="s">
        <v>128</v>
      </c>
      <c r="D21" t="s">
        <v>198</v>
      </c>
      <c r="E21" t="s">
        <v>201</v>
      </c>
      <c r="F21">
        <v>6</v>
      </c>
      <c r="G21" t="s">
        <v>15</v>
      </c>
      <c r="I21" s="2">
        <v>123500000389</v>
      </c>
    </row>
    <row r="22" spans="1:9" ht="17.25" x14ac:dyDescent="0.3">
      <c r="A22">
        <v>1063725573</v>
      </c>
      <c r="B22" t="s">
        <v>125</v>
      </c>
      <c r="C22" t="s">
        <v>126</v>
      </c>
      <c r="D22" t="s">
        <v>202</v>
      </c>
      <c r="E22" t="s">
        <v>203</v>
      </c>
      <c r="F22">
        <v>8</v>
      </c>
      <c r="G22" t="s">
        <v>51</v>
      </c>
      <c r="I22" s="2">
        <v>123500000389</v>
      </c>
    </row>
    <row r="23" spans="1:9" ht="17.25" x14ac:dyDescent="0.3">
      <c r="A23">
        <v>1063724828</v>
      </c>
      <c r="B23" t="s">
        <v>145</v>
      </c>
      <c r="C23" t="s">
        <v>146</v>
      </c>
      <c r="D23" t="s">
        <v>204</v>
      </c>
      <c r="E23" t="s">
        <v>205</v>
      </c>
      <c r="F23">
        <v>8</v>
      </c>
      <c r="G23" t="s">
        <v>48</v>
      </c>
      <c r="I23" s="2">
        <v>123500000389</v>
      </c>
    </row>
    <row r="24" spans="1:9" ht="17.25" x14ac:dyDescent="0.3">
      <c r="A24">
        <v>1063156649</v>
      </c>
      <c r="B24" t="s">
        <v>147</v>
      </c>
      <c r="C24" t="s">
        <v>148</v>
      </c>
      <c r="D24" t="s">
        <v>196</v>
      </c>
      <c r="E24" t="s">
        <v>191</v>
      </c>
      <c r="F24">
        <v>10</v>
      </c>
      <c r="G24" t="s">
        <v>80</v>
      </c>
      <c r="I24" s="2">
        <v>123500000389</v>
      </c>
    </row>
    <row r="25" spans="1:9" ht="17.25" x14ac:dyDescent="0.3">
      <c r="A25">
        <v>1063725701</v>
      </c>
      <c r="B25" t="s">
        <v>25</v>
      </c>
      <c r="D25" t="s">
        <v>206</v>
      </c>
      <c r="E25" t="s">
        <v>207</v>
      </c>
      <c r="F25">
        <v>7</v>
      </c>
      <c r="G25" t="s">
        <v>27</v>
      </c>
      <c r="I25" s="2">
        <v>123500000389</v>
      </c>
    </row>
    <row r="26" spans="1:9" ht="17.25" x14ac:dyDescent="0.3">
      <c r="A26">
        <v>1063724029</v>
      </c>
      <c r="B26" t="s">
        <v>67</v>
      </c>
      <c r="D26" t="s">
        <v>206</v>
      </c>
      <c r="E26" t="s">
        <v>207</v>
      </c>
      <c r="F26">
        <v>9</v>
      </c>
      <c r="G26" t="s">
        <v>68</v>
      </c>
      <c r="I26" s="2">
        <v>123500000389</v>
      </c>
    </row>
    <row r="27" spans="1:9" ht="17.25" x14ac:dyDescent="0.3">
      <c r="A27">
        <v>1063725234</v>
      </c>
      <c r="B27" t="s">
        <v>43</v>
      </c>
      <c r="D27" t="s">
        <v>206</v>
      </c>
      <c r="E27" t="s">
        <v>208</v>
      </c>
      <c r="F27">
        <v>8</v>
      </c>
      <c r="G27" t="s">
        <v>45</v>
      </c>
      <c r="I27" s="2">
        <v>123500000389</v>
      </c>
    </row>
    <row r="28" spans="1:9" ht="17.25" x14ac:dyDescent="0.3">
      <c r="A28">
        <v>1063726200</v>
      </c>
      <c r="B28" t="s">
        <v>10</v>
      </c>
      <c r="D28" t="s">
        <v>206</v>
      </c>
      <c r="E28" t="s">
        <v>209</v>
      </c>
      <c r="F28">
        <v>6</v>
      </c>
      <c r="G28" t="s">
        <v>12</v>
      </c>
      <c r="I28" s="2">
        <v>123500000389</v>
      </c>
    </row>
    <row r="29" spans="1:9" ht="17.25" x14ac:dyDescent="0.3">
      <c r="A29">
        <v>1063723227</v>
      </c>
      <c r="B29" t="s">
        <v>149</v>
      </c>
      <c r="C29" t="s">
        <v>150</v>
      </c>
      <c r="D29" t="s">
        <v>210</v>
      </c>
      <c r="E29" t="s">
        <v>211</v>
      </c>
      <c r="F29">
        <v>9</v>
      </c>
      <c r="G29" t="s">
        <v>66</v>
      </c>
      <c r="I29" s="2">
        <v>123500000389</v>
      </c>
    </row>
    <row r="30" spans="1:9" ht="17.25" x14ac:dyDescent="0.3">
      <c r="A30">
        <v>1063725887</v>
      </c>
      <c r="B30" t="s">
        <v>151</v>
      </c>
      <c r="C30" t="s">
        <v>133</v>
      </c>
      <c r="D30" t="s">
        <v>212</v>
      </c>
      <c r="E30" t="s">
        <v>213</v>
      </c>
      <c r="F30">
        <v>6</v>
      </c>
      <c r="G30" t="s">
        <v>8</v>
      </c>
      <c r="I30" s="2">
        <v>123500000389</v>
      </c>
    </row>
    <row r="31" spans="1:9" ht="17.25" x14ac:dyDescent="0.3">
      <c r="A31">
        <v>1067165767</v>
      </c>
      <c r="B31" t="s">
        <v>152</v>
      </c>
      <c r="C31" t="s">
        <v>153</v>
      </c>
      <c r="D31" t="s">
        <v>214</v>
      </c>
      <c r="E31" t="s">
        <v>214</v>
      </c>
      <c r="F31">
        <v>11</v>
      </c>
      <c r="G31" t="s">
        <v>100</v>
      </c>
      <c r="I31" s="2">
        <v>123500000389</v>
      </c>
    </row>
    <row r="32" spans="1:9" ht="17.25" x14ac:dyDescent="0.3">
      <c r="A32">
        <v>1063722543</v>
      </c>
      <c r="B32" t="s">
        <v>154</v>
      </c>
      <c r="C32" t="s">
        <v>155</v>
      </c>
      <c r="D32" t="s">
        <v>96</v>
      </c>
      <c r="F32">
        <v>11</v>
      </c>
      <c r="G32" t="s">
        <v>97</v>
      </c>
      <c r="I32" s="2">
        <v>123500000389</v>
      </c>
    </row>
    <row r="33" spans="1:9" ht="17.25" x14ac:dyDescent="0.3">
      <c r="A33">
        <v>1202213644</v>
      </c>
      <c r="B33" t="s">
        <v>121</v>
      </c>
      <c r="C33" t="s">
        <v>123</v>
      </c>
      <c r="D33" t="s">
        <v>96</v>
      </c>
      <c r="E33" t="s">
        <v>215</v>
      </c>
      <c r="F33">
        <v>7</v>
      </c>
      <c r="G33" t="s">
        <v>24</v>
      </c>
      <c r="I33" s="2">
        <v>123500000389</v>
      </c>
    </row>
    <row r="34" spans="1:9" ht="17.25" x14ac:dyDescent="0.3">
      <c r="A34">
        <v>6155048</v>
      </c>
      <c r="B34" t="s">
        <v>122</v>
      </c>
      <c r="C34" t="s">
        <v>124</v>
      </c>
      <c r="D34" t="s">
        <v>216</v>
      </c>
      <c r="E34" t="s">
        <v>217</v>
      </c>
      <c r="F34">
        <v>9</v>
      </c>
      <c r="G34" t="s">
        <v>63</v>
      </c>
      <c r="I34" s="2">
        <v>123500000389</v>
      </c>
    </row>
    <row r="35" spans="1:9" ht="17.25" x14ac:dyDescent="0.3">
      <c r="A35">
        <v>1070817098</v>
      </c>
      <c r="B35" t="s">
        <v>156</v>
      </c>
      <c r="C35" t="s">
        <v>125</v>
      </c>
      <c r="D35" t="s">
        <v>216</v>
      </c>
      <c r="E35" t="s">
        <v>218</v>
      </c>
      <c r="F35">
        <v>11</v>
      </c>
      <c r="G35" t="s">
        <v>94</v>
      </c>
      <c r="I35" s="2">
        <v>123500000389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7231-02F4-418E-89B8-10B66C9A91FB}">
  <dimension ref="A1:I19"/>
  <sheetViews>
    <sheetView tabSelected="1" workbookViewId="0">
      <selection activeCell="K4" sqref="K4"/>
    </sheetView>
  </sheetViews>
  <sheetFormatPr baseColWidth="10" defaultRowHeight="15" x14ac:dyDescent="0.25"/>
  <cols>
    <col min="7" max="7" width="38" bestFit="1" customWidth="1"/>
    <col min="9" max="9" width="19.85546875" bestFit="1" customWidth="1"/>
  </cols>
  <sheetData>
    <row r="1" spans="1:9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</row>
    <row r="2" spans="1:9" ht="17.25" x14ac:dyDescent="0.3">
      <c r="A2">
        <v>1021672697</v>
      </c>
      <c r="B2" t="s">
        <v>219</v>
      </c>
      <c r="D2" t="s">
        <v>220</v>
      </c>
      <c r="F2">
        <v>11</v>
      </c>
      <c r="G2" t="s">
        <v>221</v>
      </c>
      <c r="H2">
        <v>0</v>
      </c>
      <c r="I2" s="7">
        <v>123001006490</v>
      </c>
    </row>
    <row r="3" spans="1:9" ht="17.25" x14ac:dyDescent="0.3">
      <c r="A3">
        <v>1068422192</v>
      </c>
      <c r="B3" t="s">
        <v>248</v>
      </c>
      <c r="C3" t="s">
        <v>249</v>
      </c>
      <c r="D3" t="s">
        <v>222</v>
      </c>
      <c r="F3">
        <v>10</v>
      </c>
      <c r="G3" t="s">
        <v>223</v>
      </c>
      <c r="H3">
        <v>0</v>
      </c>
      <c r="I3" s="7">
        <v>123001006490</v>
      </c>
    </row>
    <row r="4" spans="1:9" ht="17.25" x14ac:dyDescent="0.3">
      <c r="A4">
        <v>1062434586</v>
      </c>
      <c r="B4" t="s">
        <v>125</v>
      </c>
      <c r="C4" t="s">
        <v>250</v>
      </c>
      <c r="D4" t="s">
        <v>260</v>
      </c>
      <c r="E4" t="s">
        <v>261</v>
      </c>
      <c r="F4">
        <v>11</v>
      </c>
      <c r="G4" t="s">
        <v>224</v>
      </c>
      <c r="H4">
        <v>0</v>
      </c>
      <c r="I4" s="7">
        <v>123001006490</v>
      </c>
    </row>
    <row r="5" spans="1:9" ht="17.25" x14ac:dyDescent="0.3">
      <c r="A5">
        <v>1062974881</v>
      </c>
      <c r="B5" t="s">
        <v>225</v>
      </c>
      <c r="D5" t="s">
        <v>262</v>
      </c>
      <c r="E5" t="s">
        <v>263</v>
      </c>
      <c r="F5">
        <v>7</v>
      </c>
      <c r="G5" t="s">
        <v>226</v>
      </c>
      <c r="H5">
        <v>0</v>
      </c>
      <c r="I5" s="7">
        <v>123001006490</v>
      </c>
    </row>
    <row r="6" spans="1:9" ht="17.25" x14ac:dyDescent="0.3">
      <c r="A6">
        <v>1062444473</v>
      </c>
      <c r="B6" t="s">
        <v>251</v>
      </c>
      <c r="C6" t="s">
        <v>252</v>
      </c>
      <c r="D6" t="s">
        <v>194</v>
      </c>
      <c r="E6" t="s">
        <v>264</v>
      </c>
      <c r="F6">
        <v>7</v>
      </c>
      <c r="G6" t="s">
        <v>227</v>
      </c>
      <c r="H6">
        <v>0</v>
      </c>
      <c r="I6" s="7">
        <v>123001006490</v>
      </c>
    </row>
    <row r="7" spans="1:9" ht="17.25" x14ac:dyDescent="0.3">
      <c r="A7">
        <v>1062445137</v>
      </c>
      <c r="B7" t="s">
        <v>138</v>
      </c>
      <c r="C7" t="s">
        <v>253</v>
      </c>
      <c r="D7" t="s">
        <v>265</v>
      </c>
      <c r="E7" t="s">
        <v>266</v>
      </c>
      <c r="F7">
        <v>7</v>
      </c>
      <c r="G7" t="s">
        <v>228</v>
      </c>
      <c r="H7">
        <v>0</v>
      </c>
      <c r="I7" s="7">
        <v>123001006490</v>
      </c>
    </row>
    <row r="8" spans="1:9" ht="17.25" x14ac:dyDescent="0.3">
      <c r="A8">
        <v>1067881715</v>
      </c>
      <c r="B8" t="s">
        <v>254</v>
      </c>
      <c r="C8" t="s">
        <v>255</v>
      </c>
      <c r="D8" t="s">
        <v>229</v>
      </c>
      <c r="F8">
        <v>11</v>
      </c>
      <c r="G8" t="s">
        <v>230</v>
      </c>
      <c r="H8">
        <v>0</v>
      </c>
      <c r="I8" s="7">
        <v>123001006490</v>
      </c>
    </row>
    <row r="9" spans="1:9" ht="17.25" x14ac:dyDescent="0.3">
      <c r="A9">
        <v>1062957587</v>
      </c>
      <c r="B9" t="s">
        <v>125</v>
      </c>
      <c r="C9" t="s">
        <v>256</v>
      </c>
      <c r="D9" t="s">
        <v>231</v>
      </c>
      <c r="F9">
        <v>11</v>
      </c>
      <c r="G9" t="s">
        <v>232</v>
      </c>
      <c r="H9">
        <v>0</v>
      </c>
      <c r="I9" s="7">
        <v>123001006490</v>
      </c>
    </row>
    <row r="10" spans="1:9" ht="17.25" x14ac:dyDescent="0.3">
      <c r="A10">
        <v>1068249031</v>
      </c>
      <c r="B10" t="s">
        <v>233</v>
      </c>
      <c r="D10" t="s">
        <v>267</v>
      </c>
      <c r="E10" t="s">
        <v>268</v>
      </c>
      <c r="F10">
        <v>7</v>
      </c>
      <c r="G10" t="s">
        <v>234</v>
      </c>
      <c r="H10">
        <v>0</v>
      </c>
      <c r="I10" s="7">
        <v>123001006490</v>
      </c>
    </row>
    <row r="11" spans="1:9" ht="17.25" x14ac:dyDescent="0.3">
      <c r="A11">
        <v>1063722799</v>
      </c>
      <c r="B11" t="s">
        <v>257</v>
      </c>
      <c r="C11" t="s">
        <v>128</v>
      </c>
      <c r="D11" t="s">
        <v>235</v>
      </c>
      <c r="F11">
        <v>10</v>
      </c>
      <c r="G11" t="s">
        <v>236</v>
      </c>
      <c r="H11">
        <v>0</v>
      </c>
      <c r="I11" s="7">
        <v>123001006490</v>
      </c>
    </row>
    <row r="12" spans="1:9" ht="17.25" x14ac:dyDescent="0.3">
      <c r="A12">
        <v>1062967369</v>
      </c>
      <c r="B12" t="s">
        <v>237</v>
      </c>
      <c r="D12" t="s">
        <v>238</v>
      </c>
      <c r="F12">
        <v>11</v>
      </c>
      <c r="G12" t="s">
        <v>239</v>
      </c>
      <c r="H12">
        <v>0</v>
      </c>
      <c r="I12" s="7">
        <v>123001006490</v>
      </c>
    </row>
    <row r="13" spans="1:9" ht="17.25" x14ac:dyDescent="0.3">
      <c r="A13" s="6">
        <v>1062972272</v>
      </c>
      <c r="B13" t="s">
        <v>240</v>
      </c>
      <c r="D13" t="s">
        <v>238</v>
      </c>
      <c r="E13" t="s">
        <v>269</v>
      </c>
      <c r="F13">
        <v>11</v>
      </c>
      <c r="G13" t="s">
        <v>239</v>
      </c>
      <c r="H13">
        <v>0</v>
      </c>
      <c r="I13" s="7">
        <v>123001006490</v>
      </c>
    </row>
    <row r="14" spans="1:9" ht="17.25" x14ac:dyDescent="0.3">
      <c r="A14">
        <v>1067929443</v>
      </c>
      <c r="B14" t="s">
        <v>241</v>
      </c>
      <c r="D14" t="s">
        <v>270</v>
      </c>
      <c r="E14" t="s">
        <v>271</v>
      </c>
      <c r="F14">
        <v>7</v>
      </c>
      <c r="G14" t="s">
        <v>242</v>
      </c>
      <c r="H14">
        <v>0</v>
      </c>
      <c r="I14" s="7">
        <v>123001006490</v>
      </c>
    </row>
    <row r="15" spans="1:9" ht="17.25" x14ac:dyDescent="0.3">
      <c r="A15">
        <v>1062437947</v>
      </c>
      <c r="B15" t="s">
        <v>258</v>
      </c>
      <c r="C15" t="s">
        <v>259</v>
      </c>
      <c r="D15" t="s">
        <v>272</v>
      </c>
      <c r="E15" t="s">
        <v>196</v>
      </c>
      <c r="F15">
        <v>10</v>
      </c>
      <c r="G15" t="s">
        <v>243</v>
      </c>
      <c r="H15">
        <v>0</v>
      </c>
      <c r="I15" s="7">
        <v>123001006490</v>
      </c>
    </row>
    <row r="16" spans="1:9" ht="17.25" x14ac:dyDescent="0.3">
      <c r="A16">
        <v>1067899113</v>
      </c>
      <c r="B16" t="s">
        <v>128</v>
      </c>
      <c r="D16" t="s">
        <v>273</v>
      </c>
      <c r="E16" t="s">
        <v>274</v>
      </c>
      <c r="F16">
        <v>7</v>
      </c>
      <c r="G16" t="s">
        <v>244</v>
      </c>
      <c r="H16">
        <v>0</v>
      </c>
      <c r="I16" s="7">
        <v>123001006490</v>
      </c>
    </row>
    <row r="17" spans="1:9" ht="17.25" x14ac:dyDescent="0.3">
      <c r="A17">
        <v>1068431053</v>
      </c>
      <c r="B17" t="s">
        <v>245</v>
      </c>
      <c r="D17" t="s">
        <v>246</v>
      </c>
      <c r="F17">
        <v>10</v>
      </c>
      <c r="G17" t="s">
        <v>247</v>
      </c>
      <c r="H17">
        <v>0</v>
      </c>
      <c r="I17" s="7">
        <v>123001006490</v>
      </c>
    </row>
    <row r="18" spans="1:9" ht="17.25" x14ac:dyDescent="0.3">
      <c r="I18" s="2"/>
    </row>
    <row r="19" spans="1:9" ht="17.25" x14ac:dyDescent="0.3">
      <c r="I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Muskus Muskus</dc:creator>
  <cp:lastModifiedBy>Juan Manuel Muskus Muskus</cp:lastModifiedBy>
  <dcterms:created xsi:type="dcterms:W3CDTF">2024-09-26T16:51:58Z</dcterms:created>
  <dcterms:modified xsi:type="dcterms:W3CDTF">2024-09-26T18:16:27Z</dcterms:modified>
</cp:coreProperties>
</file>